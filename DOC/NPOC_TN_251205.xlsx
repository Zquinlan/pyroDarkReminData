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acharyquinlan/Documents/GitHub/pyroDarkReminData/DOC/"/>
    </mc:Choice>
  </mc:AlternateContent>
  <xr:revisionPtr revIDLastSave="0" documentId="8_{33CCEAD7-0C36-BA4C-8730-485BD28D4C88}" xr6:coauthVersionLast="47" xr6:coauthVersionMax="47" xr10:uidLastSave="{00000000-0000-0000-0000-000000000000}"/>
  <bookViews>
    <workbookView xWindow="0" yWindow="760" windowWidth="29040" windowHeight="15720" xr2:uid="{99EAB20E-0F92-4B24-9D6E-661C1DF9210C}"/>
  </bookViews>
  <sheets>
    <sheet name="finalResultsImport" sheetId="14" r:id="rId1"/>
    <sheet name="Final Results" sheetId="2" r:id="rId2"/>
    <sheet name="Run File 05.20.26" sheetId="6" r:id="rId3"/>
    <sheet name="Run File 05.26.26" sheetId="1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63" i="2" l="1"/>
  <c r="B38" i="2"/>
  <c r="B37" i="2"/>
  <c r="B27" i="2"/>
  <c r="B26" i="2"/>
  <c r="B14" i="2"/>
  <c r="C14" i="2"/>
  <c r="B15" i="2"/>
  <c r="C15" i="2"/>
  <c r="B16" i="2"/>
  <c r="C16" i="2"/>
  <c r="B17" i="2"/>
  <c r="C17" i="2"/>
  <c r="B18" i="2"/>
  <c r="C18" i="2"/>
  <c r="B19" i="2"/>
  <c r="C19" i="2"/>
  <c r="B20" i="2"/>
  <c r="C20" i="2"/>
  <c r="B21" i="2"/>
  <c r="C21" i="2"/>
  <c r="B22" i="2"/>
  <c r="C22" i="2"/>
  <c r="B23" i="2"/>
  <c r="C23" i="2"/>
  <c r="B24" i="2"/>
  <c r="C24" i="2"/>
  <c r="B25" i="2"/>
  <c r="C25" i="2"/>
  <c r="C26" i="2"/>
  <c r="C27" i="2"/>
  <c r="B28" i="2"/>
  <c r="C28" i="2"/>
  <c r="B29" i="2"/>
  <c r="C29" i="2"/>
  <c r="B30" i="2"/>
  <c r="C30" i="2"/>
  <c r="B31" i="2"/>
  <c r="C31" i="2"/>
  <c r="B32" i="2"/>
  <c r="C32" i="2"/>
  <c r="B33" i="2"/>
  <c r="C33" i="2"/>
  <c r="B34" i="2"/>
  <c r="C34" i="2"/>
  <c r="B35" i="2"/>
  <c r="C35" i="2"/>
  <c r="B36" i="2"/>
  <c r="C36" i="2"/>
  <c r="C37" i="2"/>
  <c r="C38" i="2"/>
  <c r="B39" i="2"/>
  <c r="C39" i="2"/>
  <c r="B40" i="2"/>
  <c r="C40" i="2"/>
  <c r="B41" i="2"/>
  <c r="C41" i="2"/>
  <c r="B42" i="2"/>
  <c r="C42" i="2"/>
  <c r="B43" i="2"/>
  <c r="C43" i="2"/>
  <c r="B44" i="2"/>
  <c r="C44" i="2"/>
  <c r="B45" i="2"/>
  <c r="C45" i="2"/>
  <c r="B46" i="2"/>
  <c r="C46" i="2"/>
  <c r="B47" i="2"/>
  <c r="C47" i="2"/>
  <c r="B48" i="2"/>
  <c r="C48" i="2"/>
  <c r="B49" i="2"/>
  <c r="C49" i="2"/>
  <c r="B50" i="2"/>
  <c r="C50" i="2"/>
  <c r="B51" i="2"/>
  <c r="C51" i="2"/>
  <c r="B52" i="2"/>
  <c r="C52" i="2"/>
  <c r="B53" i="2"/>
  <c r="C53" i="2"/>
  <c r="B54" i="2"/>
  <c r="C54" i="2"/>
  <c r="B55" i="2"/>
  <c r="C55" i="2"/>
  <c r="B56" i="2"/>
  <c r="C56" i="2"/>
  <c r="B57" i="2"/>
  <c r="C57" i="2"/>
  <c r="B58" i="2"/>
  <c r="C58" i="2"/>
  <c r="B59" i="2"/>
  <c r="C59" i="2"/>
  <c r="B60" i="2"/>
  <c r="C60" i="2"/>
  <c r="B61" i="2"/>
  <c r="C61" i="2"/>
  <c r="B62" i="2"/>
  <c r="C62" i="2"/>
  <c r="C63" i="2"/>
  <c r="B64" i="2"/>
  <c r="C64" i="2"/>
  <c r="B65" i="2"/>
  <c r="C65" i="2"/>
  <c r="B66" i="2"/>
  <c r="C66" i="2"/>
  <c r="B67" i="2"/>
  <c r="C67" i="2"/>
  <c r="B68" i="2"/>
  <c r="C68" i="2"/>
  <c r="B69" i="2"/>
  <c r="C69" i="2"/>
  <c r="B70" i="2"/>
  <c r="C70" i="2"/>
  <c r="B71" i="2"/>
  <c r="C71" i="2"/>
  <c r="B72" i="2"/>
  <c r="C72" i="2"/>
  <c r="B73" i="2"/>
  <c r="C73" i="2"/>
  <c r="B74" i="2"/>
  <c r="C74" i="2"/>
  <c r="B75" i="2"/>
  <c r="C75" i="2"/>
  <c r="B76" i="2"/>
  <c r="C76" i="2"/>
  <c r="B77" i="2"/>
  <c r="C77" i="2"/>
  <c r="B78" i="2"/>
  <c r="C78" i="2"/>
  <c r="B79" i="2"/>
  <c r="C79" i="2"/>
  <c r="B80" i="2"/>
  <c r="C80" i="2"/>
  <c r="B81" i="2"/>
  <c r="C81" i="2"/>
  <c r="B82" i="2"/>
  <c r="C82" i="2"/>
  <c r="B83" i="2"/>
  <c r="C83" i="2"/>
  <c r="B84" i="2"/>
  <c r="C84" i="2"/>
  <c r="B85" i="2"/>
  <c r="C85" i="2"/>
  <c r="A80" i="2"/>
  <c r="A81" i="2"/>
  <c r="A82" i="2"/>
  <c r="A83" i="2"/>
  <c r="A84" i="2"/>
  <c r="A85" i="2"/>
  <c r="A79" i="2"/>
  <c r="A70" i="2"/>
  <c r="A71" i="2"/>
  <c r="A72" i="2"/>
  <c r="A73" i="2"/>
  <c r="A74" i="2"/>
  <c r="A75" i="2"/>
  <c r="A76" i="2"/>
  <c r="A77" i="2"/>
  <c r="A78" i="2"/>
  <c r="A69" i="2"/>
  <c r="A65" i="2"/>
  <c r="A66" i="2"/>
  <c r="A67" i="2"/>
  <c r="A68" i="2"/>
  <c r="A64" i="2"/>
  <c r="A63" i="2"/>
  <c r="A55" i="2"/>
  <c r="A56" i="2"/>
  <c r="A57" i="2"/>
  <c r="A58" i="2"/>
  <c r="A59" i="2"/>
  <c r="A60" i="2"/>
  <c r="A61" i="2"/>
  <c r="A62" i="2"/>
  <c r="A54" i="2"/>
  <c r="A45" i="2"/>
  <c r="A46" i="2"/>
  <c r="A47" i="2"/>
  <c r="A48" i="2"/>
  <c r="A49" i="2"/>
  <c r="A50" i="2"/>
  <c r="A51" i="2"/>
  <c r="A52" i="2"/>
  <c r="A53" i="2"/>
  <c r="A44" i="2"/>
  <c r="A35" i="2"/>
  <c r="A36" i="2"/>
  <c r="A37" i="2"/>
  <c r="A38" i="2"/>
  <c r="A39" i="2"/>
  <c r="A40" i="2"/>
  <c r="A41" i="2"/>
  <c r="A42" i="2"/>
  <c r="A43" i="2"/>
  <c r="A34" i="2"/>
  <c r="A25" i="2"/>
  <c r="A26" i="2"/>
  <c r="A27" i="2"/>
  <c r="A28" i="2"/>
  <c r="A29" i="2"/>
  <c r="A30" i="2"/>
  <c r="A31" i="2"/>
  <c r="A32" i="2"/>
  <c r="A33" i="2"/>
  <c r="A24" i="2"/>
  <c r="A15" i="2"/>
  <c r="A16" i="2"/>
  <c r="A17" i="2"/>
  <c r="A18" i="2"/>
  <c r="A19" i="2"/>
  <c r="A20" i="2"/>
  <c r="A21" i="2"/>
  <c r="A22" i="2"/>
  <c r="A23" i="2"/>
  <c r="A14" i="2"/>
  <c r="E18" i="13"/>
  <c r="F18" i="13"/>
  <c r="E19" i="13"/>
  <c r="F19" i="13"/>
  <c r="E20" i="13"/>
  <c r="F20" i="13"/>
  <c r="E21" i="13"/>
  <c r="F21" i="13"/>
  <c r="G52" i="13"/>
  <c r="F52" i="13"/>
  <c r="E52" i="13"/>
  <c r="G51" i="13"/>
  <c r="F51" i="13"/>
  <c r="E51" i="13"/>
  <c r="G50" i="13"/>
  <c r="F50" i="13"/>
  <c r="E50" i="13"/>
  <c r="G49" i="13"/>
  <c r="F49" i="13"/>
  <c r="E49" i="13"/>
  <c r="G48" i="13"/>
  <c r="F48" i="13"/>
  <c r="E48" i="13"/>
  <c r="G47" i="13"/>
  <c r="F47" i="13"/>
  <c r="E47" i="13"/>
  <c r="G46" i="13"/>
  <c r="F46" i="13"/>
  <c r="E46" i="13"/>
  <c r="G45" i="13"/>
  <c r="F45" i="13"/>
  <c r="E45" i="13"/>
  <c r="G44" i="13"/>
  <c r="F44" i="13"/>
  <c r="E44" i="13"/>
  <c r="G43" i="13"/>
  <c r="F43" i="13"/>
  <c r="E43" i="13"/>
  <c r="G42" i="13"/>
  <c r="F42" i="13"/>
  <c r="E42" i="13"/>
  <c r="G41" i="13"/>
  <c r="F41" i="13"/>
  <c r="E41" i="13"/>
  <c r="G40" i="13"/>
  <c r="F40" i="13"/>
  <c r="E40" i="13"/>
  <c r="G39" i="13"/>
  <c r="F39" i="13"/>
  <c r="E39" i="13"/>
  <c r="G38" i="13"/>
  <c r="F38" i="13"/>
  <c r="E38" i="13"/>
  <c r="G37" i="13"/>
  <c r="F37" i="13"/>
  <c r="E37" i="13"/>
  <c r="G36" i="13"/>
  <c r="F36" i="13"/>
  <c r="E36" i="13"/>
  <c r="G35" i="13"/>
  <c r="F35" i="13"/>
  <c r="E35" i="13"/>
  <c r="G34" i="13"/>
  <c r="F34" i="13"/>
  <c r="E34" i="13"/>
  <c r="G33" i="13"/>
  <c r="F33" i="13"/>
  <c r="E33" i="13"/>
  <c r="G32" i="13"/>
  <c r="F32" i="13"/>
  <c r="E32" i="13"/>
  <c r="G31" i="13"/>
  <c r="F31" i="13"/>
  <c r="E31" i="13"/>
  <c r="G30" i="13"/>
  <c r="F30" i="13"/>
  <c r="E30" i="13"/>
  <c r="G29" i="13"/>
  <c r="F29" i="13"/>
  <c r="E29" i="13"/>
  <c r="G28" i="13"/>
  <c r="F28" i="13"/>
  <c r="E28" i="13"/>
  <c r="G27" i="13"/>
  <c r="F27" i="13"/>
  <c r="E27" i="13"/>
  <c r="G26" i="13"/>
  <c r="F26" i="13"/>
  <c r="E26" i="13"/>
  <c r="G25" i="13"/>
  <c r="F25" i="13"/>
  <c r="E25" i="13"/>
  <c r="G24" i="13"/>
  <c r="F24" i="13"/>
  <c r="E24" i="13"/>
  <c r="G23" i="13"/>
  <c r="F23" i="13"/>
  <c r="E23" i="13"/>
  <c r="G22" i="13"/>
  <c r="F22" i="13"/>
  <c r="E22" i="13"/>
  <c r="F17" i="13"/>
  <c r="E17" i="13"/>
  <c r="G16" i="13"/>
  <c r="F16" i="13"/>
  <c r="E16" i="13"/>
  <c r="G15" i="13"/>
  <c r="F15" i="13"/>
  <c r="E15" i="13"/>
  <c r="G14" i="13"/>
  <c r="F14" i="13"/>
  <c r="E14" i="13"/>
  <c r="E21" i="6"/>
  <c r="F21" i="6"/>
  <c r="G21" i="6"/>
  <c r="E22" i="6"/>
  <c r="F22" i="6"/>
  <c r="G22" i="6"/>
  <c r="E23" i="6"/>
  <c r="F23" i="6"/>
  <c r="G23" i="6"/>
  <c r="E69" i="6" l="1"/>
  <c r="F69" i="6"/>
  <c r="G69" i="6"/>
  <c r="E70" i="6"/>
  <c r="F70" i="6"/>
  <c r="G70" i="6"/>
  <c r="E71" i="6"/>
  <c r="F71" i="6"/>
  <c r="G71" i="6"/>
  <c r="E72" i="6"/>
  <c r="F72" i="6"/>
  <c r="G72" i="6"/>
  <c r="E73" i="6"/>
  <c r="F73" i="6"/>
  <c r="G73" i="6"/>
  <c r="E74" i="6"/>
  <c r="F74" i="6"/>
  <c r="G74" i="6"/>
  <c r="E75" i="6"/>
  <c r="F75" i="6"/>
  <c r="G75" i="6"/>
  <c r="E76" i="6"/>
  <c r="F76" i="6"/>
  <c r="G76" i="6"/>
  <c r="E77" i="6"/>
  <c r="F77" i="6"/>
  <c r="G77" i="6"/>
  <c r="E78" i="6"/>
  <c r="G78" i="6"/>
  <c r="E79" i="6"/>
  <c r="F79" i="6"/>
  <c r="G79" i="6"/>
  <c r="E80" i="6"/>
  <c r="F80" i="6"/>
  <c r="G80" i="6"/>
  <c r="E81" i="6"/>
  <c r="F81" i="6"/>
  <c r="G81" i="6"/>
  <c r="G15" i="2"/>
  <c r="F16" i="2"/>
  <c r="G16" i="2"/>
  <c r="F17" i="2"/>
  <c r="G17" i="2"/>
  <c r="F18" i="2"/>
  <c r="G18" i="2"/>
  <c r="G19" i="2"/>
  <c r="F20" i="2"/>
  <c r="F21" i="2"/>
  <c r="F22" i="2"/>
  <c r="G22" i="2"/>
  <c r="F23" i="2"/>
  <c r="G23" i="2"/>
  <c r="F24" i="2"/>
  <c r="G24" i="2"/>
  <c r="F25" i="2"/>
  <c r="G25" i="2"/>
  <c r="F26" i="2"/>
  <c r="G26" i="2"/>
  <c r="F27" i="2"/>
  <c r="F28" i="2"/>
  <c r="G28" i="2"/>
  <c r="F29" i="2"/>
  <c r="F30" i="2"/>
  <c r="G30" i="2"/>
  <c r="F31" i="2"/>
  <c r="G31" i="2"/>
  <c r="G32" i="2"/>
  <c r="G33" i="2"/>
  <c r="F34" i="2"/>
  <c r="G34" i="2"/>
  <c r="G35" i="2"/>
  <c r="F36" i="2"/>
  <c r="G36" i="2"/>
  <c r="F37" i="2"/>
  <c r="G37" i="2"/>
  <c r="F38" i="2"/>
  <c r="F39" i="2"/>
  <c r="G39" i="2"/>
  <c r="F40" i="2"/>
  <c r="G40" i="2"/>
  <c r="F41" i="2"/>
  <c r="G41" i="2"/>
  <c r="F42" i="2"/>
  <c r="G42" i="2"/>
  <c r="F43" i="2"/>
  <c r="G43" i="2"/>
  <c r="G44" i="2"/>
  <c r="F45" i="2"/>
  <c r="G45" i="2"/>
  <c r="G46" i="2"/>
  <c r="G47" i="2"/>
  <c r="G48" i="2"/>
  <c r="F49" i="2"/>
  <c r="G49" i="2"/>
  <c r="F50" i="2"/>
  <c r="F51" i="2"/>
  <c r="G51" i="2"/>
  <c r="G52" i="2"/>
  <c r="F53" i="2"/>
  <c r="G54" i="2"/>
  <c r="F55" i="2"/>
  <c r="G55" i="2"/>
  <c r="F56" i="2"/>
  <c r="G58" i="2"/>
  <c r="F59" i="2"/>
  <c r="F60" i="2"/>
  <c r="G60" i="2"/>
  <c r="F61" i="2"/>
  <c r="G61" i="2"/>
  <c r="F62" i="2"/>
  <c r="F63" i="2"/>
  <c r="G63" i="2"/>
  <c r="F64" i="2"/>
  <c r="G64" i="2"/>
  <c r="F65" i="2"/>
  <c r="F66" i="2"/>
  <c r="G66" i="2"/>
  <c r="G67" i="2"/>
  <c r="F68" i="2"/>
  <c r="F69" i="2"/>
  <c r="G69" i="2"/>
  <c r="F71" i="2"/>
  <c r="F72" i="2"/>
  <c r="G72" i="2"/>
  <c r="G73" i="2"/>
  <c r="F74" i="2"/>
  <c r="G74" i="2"/>
  <c r="F75" i="2"/>
  <c r="G75" i="2"/>
  <c r="F76" i="2"/>
  <c r="G76" i="2"/>
  <c r="F77" i="2"/>
  <c r="F78" i="2"/>
  <c r="G78" i="2"/>
  <c r="G79" i="2"/>
  <c r="F80" i="2"/>
  <c r="G80" i="2"/>
  <c r="F81" i="2"/>
  <c r="G81" i="2"/>
  <c r="F82" i="2"/>
  <c r="G82" i="2"/>
  <c r="F83" i="2"/>
  <c r="G83" i="2"/>
  <c r="F84" i="2"/>
  <c r="G84" i="2"/>
  <c r="F85" i="2"/>
  <c r="G85" i="2"/>
  <c r="E78" i="2"/>
  <c r="E80" i="2"/>
  <c r="E81" i="2"/>
  <c r="E82" i="2"/>
  <c r="E83" i="2"/>
  <c r="E84" i="2"/>
  <c r="E85" i="2"/>
  <c r="E77" i="2"/>
  <c r="E68" i="2"/>
  <c r="E69" i="2"/>
  <c r="E71" i="2"/>
  <c r="E73" i="2"/>
  <c r="E74" i="2"/>
  <c r="E76" i="2"/>
  <c r="E79" i="2"/>
  <c r="E58" i="2"/>
  <c r="E59" i="2"/>
  <c r="E61" i="2"/>
  <c r="E62" i="2"/>
  <c r="E63" i="2"/>
  <c r="E64" i="2"/>
  <c r="E65" i="2"/>
  <c r="E66" i="2"/>
  <c r="E70" i="2"/>
  <c r="E57" i="2"/>
  <c r="E53" i="2"/>
  <c r="E54" i="2"/>
  <c r="E55" i="2"/>
  <c r="E50" i="2"/>
  <c r="E42" i="2"/>
  <c r="E43" i="2"/>
  <c r="E44" i="2"/>
  <c r="E45" i="2"/>
  <c r="E46" i="2"/>
  <c r="E47" i="2"/>
  <c r="E49" i="2"/>
  <c r="E41" i="2"/>
  <c r="E32" i="2"/>
  <c r="E33" i="2"/>
  <c r="E34" i="2"/>
  <c r="E35" i="2"/>
  <c r="E37" i="2"/>
  <c r="E38" i="2"/>
  <c r="E39" i="2"/>
  <c r="E40" i="2"/>
  <c r="E31" i="2"/>
  <c r="E22" i="2"/>
  <c r="E23" i="2"/>
  <c r="E24" i="2"/>
  <c r="E25" i="2"/>
  <c r="E26" i="2"/>
  <c r="E27" i="2"/>
  <c r="E28" i="2"/>
  <c r="E29" i="2"/>
  <c r="E30" i="2"/>
  <c r="E21" i="2"/>
  <c r="E15" i="2"/>
  <c r="E16" i="2"/>
  <c r="E18" i="2"/>
  <c r="E19" i="2"/>
  <c r="E20" i="2"/>
  <c r="G71" i="2"/>
  <c r="F73" i="2"/>
  <c r="G77" i="2"/>
  <c r="F79" i="2"/>
  <c r="G70" i="2"/>
  <c r="F70" i="2"/>
  <c r="E36" i="2"/>
  <c r="E48" i="2"/>
  <c r="E51" i="2"/>
  <c r="E52" i="2"/>
  <c r="E56" i="2"/>
  <c r="E60" i="2"/>
  <c r="E67" i="2"/>
  <c r="E72" i="2"/>
  <c r="E75" i="2"/>
  <c r="F15" i="2"/>
  <c r="F19" i="2"/>
  <c r="G20" i="2"/>
  <c r="G21" i="2"/>
  <c r="G27" i="2"/>
  <c r="G29" i="2"/>
  <c r="F32" i="2"/>
  <c r="F33" i="2"/>
  <c r="F35" i="2"/>
  <c r="G38" i="2"/>
  <c r="F44" i="2"/>
  <c r="F46" i="2"/>
  <c r="F47" i="2"/>
  <c r="F48" i="2"/>
  <c r="G50" i="2"/>
  <c r="F52" i="2"/>
  <c r="G53" i="2"/>
  <c r="F54" i="2"/>
  <c r="G56" i="2"/>
  <c r="F57" i="2"/>
  <c r="G57" i="2"/>
  <c r="F58" i="2"/>
  <c r="G59" i="2"/>
  <c r="G62" i="2"/>
  <c r="G65" i="2"/>
  <c r="F67" i="2"/>
  <c r="G68" i="2"/>
  <c r="E17" i="2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37" i="6"/>
  <c r="E38" i="6"/>
  <c r="E39" i="6"/>
  <c r="E32" i="6"/>
  <c r="E34" i="6"/>
  <c r="E35" i="6"/>
  <c r="E36" i="6"/>
  <c r="F67" i="6"/>
  <c r="G67" i="6"/>
  <c r="F68" i="6"/>
  <c r="G68" i="6"/>
  <c r="G66" i="6"/>
  <c r="F66" i="6"/>
  <c r="G65" i="6"/>
  <c r="F65" i="6"/>
  <c r="G64" i="6"/>
  <c r="F64" i="6"/>
  <c r="G63" i="6"/>
  <c r="F63" i="6"/>
  <c r="G62" i="6"/>
  <c r="F62" i="6"/>
  <c r="G61" i="6"/>
  <c r="F61" i="6"/>
  <c r="G60" i="6"/>
  <c r="F60" i="6"/>
  <c r="G59" i="6"/>
  <c r="F59" i="6"/>
  <c r="G58" i="6"/>
  <c r="F58" i="6"/>
  <c r="G57" i="6"/>
  <c r="F57" i="6"/>
  <c r="G56" i="6"/>
  <c r="F56" i="6"/>
  <c r="G55" i="6"/>
  <c r="F55" i="6"/>
  <c r="G54" i="6"/>
  <c r="F54" i="6"/>
  <c r="G53" i="6"/>
  <c r="F53" i="6"/>
  <c r="G52" i="6"/>
  <c r="F52" i="6"/>
  <c r="G51" i="6"/>
  <c r="F51" i="6"/>
  <c r="G50" i="6"/>
  <c r="F50" i="6"/>
  <c r="G49" i="6"/>
  <c r="F49" i="6"/>
  <c r="G48" i="6"/>
  <c r="F48" i="6"/>
  <c r="G47" i="6"/>
  <c r="G46" i="6"/>
  <c r="G45" i="6"/>
  <c r="F45" i="6"/>
  <c r="G44" i="6"/>
  <c r="F44" i="6"/>
  <c r="G43" i="6"/>
  <c r="F43" i="6"/>
  <c r="G42" i="6"/>
  <c r="F42" i="6"/>
  <c r="G41" i="6"/>
  <c r="F41" i="6"/>
  <c r="G40" i="6"/>
  <c r="F40" i="6"/>
  <c r="G39" i="6"/>
  <c r="F39" i="6"/>
  <c r="G38" i="6"/>
  <c r="F38" i="6"/>
  <c r="G37" i="6"/>
  <c r="F37" i="6"/>
  <c r="G36" i="6"/>
  <c r="F36" i="6"/>
  <c r="G35" i="6"/>
  <c r="F35" i="6"/>
  <c r="G34" i="6"/>
  <c r="F34" i="6"/>
  <c r="G32" i="6"/>
  <c r="G31" i="6"/>
  <c r="F31" i="6"/>
  <c r="E31" i="6"/>
  <c r="G30" i="6"/>
  <c r="F30" i="6"/>
  <c r="E30" i="6"/>
  <c r="G29" i="6"/>
  <c r="F29" i="6"/>
  <c r="E29" i="6"/>
  <c r="G28" i="6"/>
  <c r="F28" i="6"/>
  <c r="E28" i="6"/>
  <c r="G27" i="6"/>
  <c r="F27" i="6"/>
  <c r="E27" i="6"/>
  <c r="G26" i="6"/>
  <c r="F26" i="6"/>
  <c r="E26" i="6"/>
  <c r="G25" i="6"/>
  <c r="F25" i="6"/>
  <c r="E25" i="6"/>
  <c r="G24" i="6"/>
  <c r="F24" i="6"/>
  <c r="E24" i="6"/>
  <c r="G20" i="6"/>
  <c r="F20" i="6"/>
  <c r="E20" i="6"/>
  <c r="G19" i="6"/>
  <c r="F19" i="6"/>
  <c r="E19" i="6"/>
  <c r="G18" i="6"/>
  <c r="F18" i="6"/>
  <c r="E18" i="6"/>
  <c r="G17" i="6"/>
  <c r="F17" i="6"/>
  <c r="E17" i="6"/>
  <c r="G16" i="6"/>
  <c r="F16" i="6"/>
  <c r="E16" i="6"/>
  <c r="G15" i="6"/>
  <c r="F15" i="6"/>
  <c r="E15" i="6"/>
  <c r="G14" i="6"/>
  <c r="F14" i="6"/>
  <c r="E14" i="6"/>
  <c r="F14" i="2" l="1"/>
  <c r="G14" i="2"/>
  <c r="E14" i="2"/>
</calcChain>
</file>

<file path=xl/sharedStrings.xml><?xml version="1.0" encoding="utf-8"?>
<sst xmlns="http://schemas.openxmlformats.org/spreadsheetml/2006/main" count="243" uniqueCount="112">
  <si>
    <t>System</t>
  </si>
  <si>
    <t>TOCReg</t>
  </si>
  <si>
    <t>Deep Seawater Reference Material</t>
    <phoneticPr fontId="0" type="noConversion"/>
  </si>
  <si>
    <t>S/W Version</t>
  </si>
  <si>
    <t>User</t>
  </si>
  <si>
    <t>Date</t>
  </si>
  <si>
    <t>Comments</t>
  </si>
  <si>
    <t>Standards</t>
    <phoneticPr fontId="0" type="noConversion"/>
  </si>
  <si>
    <t>Range</t>
    <phoneticPr fontId="0" type="noConversion"/>
  </si>
  <si>
    <t>0-5mg/L</t>
    <phoneticPr fontId="0" type="noConversion"/>
  </si>
  <si>
    <t>Raw data (mg/L)</t>
    <phoneticPr fontId="0" type="noConversion"/>
  </si>
  <si>
    <t>Unit conversion</t>
    <phoneticPr fontId="0" type="noConversion"/>
  </si>
  <si>
    <t>Sample</t>
    <phoneticPr fontId="0" type="noConversion"/>
  </si>
  <si>
    <t>NPOC (mg/L)</t>
    <phoneticPr fontId="0" type="noConversion"/>
  </si>
  <si>
    <t>TN (mg/L)</t>
    <phoneticPr fontId="0" type="noConversion"/>
  </si>
  <si>
    <t>NPOC (uM)</t>
    <phoneticPr fontId="0" type="noConversion"/>
  </si>
  <si>
    <t>TN (uM)</t>
    <phoneticPr fontId="0" type="noConversion"/>
  </si>
  <si>
    <t>A.Whitworth</t>
  </si>
  <si>
    <t>Data Provided by:</t>
    <phoneticPr fontId="0" type="noConversion"/>
  </si>
  <si>
    <t xml:space="preserve">SOEST Laboratory for </t>
    <phoneticPr fontId="0" type="noConversion"/>
  </si>
  <si>
    <t>Analtyical Biogeochemistry (S-LAB)</t>
    <phoneticPr fontId="0" type="noConversion"/>
  </si>
  <si>
    <t xml:space="preserve">University of Hawaii at Manoa </t>
    <phoneticPr fontId="0" type="noConversion"/>
  </si>
  <si>
    <t>1000 Pope Rd</t>
    <phoneticPr fontId="0" type="noConversion"/>
  </si>
  <si>
    <t>Honolulu, HI 96822</t>
    <phoneticPr fontId="0" type="noConversion"/>
  </si>
  <si>
    <t>808-956-5878</t>
    <phoneticPr fontId="0" type="noConversion"/>
  </si>
  <si>
    <t>Date Samples Received:</t>
    <phoneticPr fontId="0" type="noConversion"/>
  </si>
  <si>
    <t>Project:</t>
  </si>
  <si>
    <t>LNSW</t>
  </si>
  <si>
    <t>DIW</t>
  </si>
  <si>
    <t>NPOC certified reference value 0.504-0.516 mg/L: 42-43 uM</t>
  </si>
  <si>
    <t>TN certified reference value 0.434-0.448 mg/L:  31-32 uM</t>
  </si>
  <si>
    <t>DSWR [B24,L05-24]</t>
  </si>
  <si>
    <t>Wall</t>
  </si>
  <si>
    <t>Wall (12/5/26)</t>
  </si>
  <si>
    <t>DSWR [B24, L05-24]</t>
  </si>
  <si>
    <t>Wall (12/5/25)</t>
  </si>
  <si>
    <t>*Highlighted samples were analyzed with a dilution. The dilution has been applied to reported results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</si>
  <si>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</si>
  <si>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</si>
  <si>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</si>
  <si>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</si>
  <si>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</si>
  <si>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</si>
  <si>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</si>
  <si>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</si>
  <si>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</si>
  <si>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</si>
  <si>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</si>
  <si>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</si>
  <si>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</si>
  <si>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</si>
  <si>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</si>
  <si>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</si>
  <si>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</si>
  <si>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</si>
  <si>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</si>
  <si>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</si>
  <si>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</si>
  <si>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</si>
  <si>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</si>
  <si>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</si>
  <si>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</si>
  <si>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</si>
  <si>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</si>
  <si>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</si>
  <si>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</si>
  <si>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</si>
  <si>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</si>
  <si>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</si>
  <si>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</si>
  <si>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</si>
  <si>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</si>
  <si>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</si>
  <si>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</si>
  <si>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</si>
  <si>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</si>
  <si>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</si>
  <si>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</si>
  <si>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</si>
  <si>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</si>
  <si>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</si>
  <si>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</si>
  <si>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</si>
  <si>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</si>
  <si>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</si>
  <si>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</si>
  <si>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</si>
  <si>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</si>
  <si>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</si>
  <si>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</si>
  <si>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</si>
  <si>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</si>
  <si>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</si>
  <si>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</si>
  <si>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</si>
  <si>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</si>
  <si>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</si>
  <si>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</si>
  <si>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</si>
  <si>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</si>
  <si>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</si>
  <si>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R65</t>
  </si>
  <si>
    <t>R66</t>
  </si>
  <si>
    <t>R67</t>
  </si>
  <si>
    <t>R68</t>
  </si>
  <si>
    <t>R69</t>
  </si>
  <si>
    <t>R70</t>
  </si>
  <si>
    <t>R71</t>
  </si>
  <si>
    <t>R72</t>
  </si>
  <si>
    <t>Sample</t>
  </si>
  <si>
    <t>NPOC</t>
  </si>
  <si>
    <t>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</si>
</sst>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;@"/>
    <numFmt numFmtId="165" formatCode="0.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sz val="10"/>
      <name val="Verdana"/>
      <family val="2"/>
    </font>
    <font>
      <b/>
      <u/>
      <sz val="10"/>
      <name val="Verdana"/>
      <family val="2"/>
    </font>
    <font>
      <b/>
      <sz val="10"/>
      <name val="Verdan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0" fontId="2" fillId="0" borderId="1" xfId="0" applyFont="1" applyBorder="1"/>
    <xf numFmtId="0" fontId="0" fillId="0" borderId="1" xfId="0" applyBorder="1"/>
    <xf numFmtId="22" fontId="0" fillId="0" borderId="0" xfId="0" applyNumberFormat="1"/>
    <xf numFmtId="0" fontId="4" fillId="0" borderId="0" xfId="0" applyFont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4" fontId="3" fillId="0" borderId="0" xfId="0" applyNumberFormat="1" applyFont="1" applyAlignment="1">
      <alignment horizontal="left"/>
    </xf>
    <xf numFmtId="0" fontId="0" fillId="0" borderId="1" xfId="0" applyBorder="1" applyAlignment="1">
      <alignment horizontal="left"/>
    </xf>
    <xf numFmtId="165" fontId="0" fillId="0" borderId="0" xfId="0" applyNumberFormat="1"/>
    <xf numFmtId="165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0" fillId="2" borderId="1" xfId="0" applyFill="1" applyBorder="1" applyAlignment="1">
      <alignment horizontal="left"/>
    </xf>
    <xf numFmtId="165" fontId="0" fillId="2" borderId="1" xfId="0" applyNumberFormat="1" applyFill="1" applyBorder="1" applyAlignment="1">
      <alignment horizontal="left"/>
    </xf>
    <xf numFmtId="2" fontId="0" fillId="2" borderId="1" xfId="0" applyNumberFormat="1" applyFill="1" applyBorder="1" applyAlignment="1">
      <alignment horizontal="left"/>
    </xf>
    <xf numFmtId="0" fontId="0" fillId="2" borderId="1" xfId="0" applyFill="1" applyBorder="1"/>
    <xf numFmtId="0" fontId="0" fillId="3" borderId="1" xfId="0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3" borderId="0" xfId="0" applyFill="1" applyAlignment="1">
      <alignment horizontal="center" vertical="center" wrapText="1"/>
    </xf>
  </cellXfs>
  <cellStyles count="2">
    <cellStyle name="Normal" xfId="0" builtinId="0"/>
    <cellStyle name="Normal 2" xfId="1" xr:uid="{52A5643C-4D13-40E3-871E-20121509124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876300</xdr:colOff>
      <xdr:row>9</xdr:row>
      <xdr:rowOff>171450</xdr:rowOff>
    </xdr:to>
    <xdr:pic>
      <xdr:nvPicPr>
        <xdr:cNvPr id="7" name="Picture 1" descr="slab with text 3.jpg">
          <a:extLst>
            <a:ext uri="{FF2B5EF4-FFF2-40B4-BE49-F238E27FC236}">
              <a16:creationId xmlns:a16="http://schemas.microsoft.com/office/drawing/2014/main" id="{B57E4693-F9D9-45FF-B3DE-3C6CCB331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354" t="6238" r="17834" b="5814"/>
        <a:stretch>
          <a:fillRect/>
        </a:stretch>
      </xdr:blipFill>
      <xdr:spPr bwMode="auto">
        <a:xfrm>
          <a:off x="0" y="0"/>
          <a:ext cx="3048000" cy="1885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F257A-922B-D145-BFB5-18E2A9484AA4}">
  <dimension ref="A1:C73"/>
  <sheetViews>
    <sheetView tabSelected="1" workbookViewId="0">
      <selection activeCell="D7" sqref="D7"/>
    </sheetView>
  </sheetViews>
  <sheetFormatPr baseColWidth="10" defaultRowHeight="15" x14ac:dyDescent="0.2"/>
  <sheetData>
    <row r="1" spans="1:3" x14ac:dyDescent="0.2">
      <c r="A1" t="s">
        <v>109</v>
      </c>
      <c r="B1" t="s">
        <v>110</v>
      </c>
      <c r="C1" t="s">
        <v>111</v>
      </c>
    </row>
    <row r="2" spans="1:3" x14ac:dyDescent="0.2">
      <c r="A2" t="s">
        <v>37</v>
      </c>
      <c r="B2">
        <v>83.064128929482322</v>
      </c>
      <c r="C2">
        <v>10.100820797665879</v>
      </c>
    </row>
    <row r="3" spans="1:3" x14ac:dyDescent="0.2">
      <c r="A3" t="s">
        <v>38</v>
      </c>
      <c r="B3">
        <v>79.092670146896793</v>
      </c>
      <c r="C3">
        <v>10.029426393559273</v>
      </c>
    </row>
    <row r="4" spans="1:3" x14ac:dyDescent="0.2">
      <c r="A4" t="s">
        <v>39</v>
      </c>
      <c r="B4">
        <v>77.219340532469644</v>
      </c>
      <c r="C4">
        <v>10.843322600374583</v>
      </c>
    </row>
    <row r="5" spans="1:3" x14ac:dyDescent="0.2">
      <c r="A5" t="s">
        <v>40</v>
      </c>
      <c r="B5">
        <v>80.732874298195213</v>
      </c>
      <c r="C5">
        <v>12.506812216058506</v>
      </c>
    </row>
    <row r="6" spans="1:3" x14ac:dyDescent="0.2">
      <c r="A6" t="s">
        <v>41</v>
      </c>
      <c r="B6">
        <v>330.84319259771149</v>
      </c>
      <c r="C6">
        <v>14.277393437902337</v>
      </c>
    </row>
    <row r="7" spans="1:3" x14ac:dyDescent="0.2">
      <c r="A7" t="s">
        <v>42</v>
      </c>
      <c r="B7">
        <v>106.45993433632788</v>
      </c>
      <c r="C7">
        <v>13.142222412607302</v>
      </c>
    </row>
    <row r="8" spans="1:3" x14ac:dyDescent="0.2">
      <c r="A8" t="s">
        <v>43</v>
      </c>
      <c r="B8">
        <v>145.17541303448868</v>
      </c>
      <c r="C8">
        <v>14.091767987225163</v>
      </c>
    </row>
    <row r="9" spans="1:3" x14ac:dyDescent="0.2">
      <c r="A9" t="s">
        <v>44</v>
      </c>
      <c r="B9">
        <v>214.9465337851527</v>
      </c>
      <c r="C9">
        <v>17.297376731611777</v>
      </c>
    </row>
    <row r="10" spans="1:3" x14ac:dyDescent="0.2">
      <c r="A10" t="s">
        <v>45</v>
      </c>
      <c r="B10">
        <v>231.26531620416242</v>
      </c>
      <c r="C10">
        <v>19.13935235756221</v>
      </c>
    </row>
    <row r="11" spans="1:3" x14ac:dyDescent="0.2">
      <c r="A11" t="s">
        <v>46</v>
      </c>
      <c r="B11">
        <v>236.01108456071114</v>
      </c>
      <c r="C11">
        <v>21.795224190327961</v>
      </c>
    </row>
    <row r="12" spans="1:3" x14ac:dyDescent="0.2">
      <c r="A12" t="s">
        <v>47</v>
      </c>
      <c r="B12">
        <v>227.68517516325721</v>
      </c>
      <c r="C12">
        <v>18.346874471978886</v>
      </c>
    </row>
    <row r="13" spans="1:3" x14ac:dyDescent="0.2">
      <c r="A13" t="s">
        <v>48</v>
      </c>
      <c r="B13">
        <v>386.37700827872919</v>
      </c>
      <c r="C13">
        <v>28.513437616759596</v>
      </c>
    </row>
    <row r="14" spans="1:3" x14ac:dyDescent="0.2">
      <c r="A14" t="s">
        <v>49</v>
      </c>
      <c r="B14">
        <v>744.55763055719751</v>
      </c>
      <c r="C14">
        <v>51.238276443892325</v>
      </c>
    </row>
    <row r="15" spans="1:3" x14ac:dyDescent="0.2">
      <c r="A15" t="s">
        <v>50</v>
      </c>
      <c r="B15">
        <v>876.16805570588451</v>
      </c>
      <c r="C15">
        <v>60.728675086446728</v>
      </c>
    </row>
    <row r="16" spans="1:3" x14ac:dyDescent="0.2">
      <c r="A16" t="s">
        <v>51</v>
      </c>
      <c r="B16">
        <v>95.053438461815972</v>
      </c>
      <c r="C16">
        <v>12.092724672240191</v>
      </c>
    </row>
    <row r="17" spans="1:3" x14ac:dyDescent="0.2">
      <c r="A17" t="s">
        <v>52</v>
      </c>
      <c r="B17">
        <v>88.559229131801914</v>
      </c>
      <c r="C17">
        <v>10.921856444891851</v>
      </c>
    </row>
    <row r="18" spans="1:3" x14ac:dyDescent="0.2">
      <c r="A18" t="s">
        <v>53</v>
      </c>
      <c r="B18">
        <v>89.641597353470928</v>
      </c>
      <c r="C18">
        <v>10.864740921606565</v>
      </c>
    </row>
    <row r="19" spans="1:3" x14ac:dyDescent="0.2">
      <c r="A19" t="s">
        <v>54</v>
      </c>
      <c r="B19">
        <v>145.25867212846322</v>
      </c>
      <c r="C19">
        <v>16.39066779945788</v>
      </c>
    </row>
    <row r="20" spans="1:3" x14ac:dyDescent="0.2">
      <c r="A20" t="s">
        <v>55</v>
      </c>
      <c r="B20">
        <v>178.56230971827898</v>
      </c>
      <c r="C20">
        <v>18.089854617195108</v>
      </c>
    </row>
    <row r="21" spans="1:3" x14ac:dyDescent="0.2">
      <c r="A21" t="s">
        <v>56</v>
      </c>
      <c r="B21">
        <v>207.45321532744416</v>
      </c>
      <c r="C21">
        <v>21.966570760183817</v>
      </c>
    </row>
    <row r="22" spans="1:3" x14ac:dyDescent="0.2">
      <c r="A22" t="s">
        <v>57</v>
      </c>
      <c r="B22">
        <v>216.4451974766944</v>
      </c>
      <c r="C22">
        <v>21.431112729384271</v>
      </c>
    </row>
    <row r="23" spans="1:3" x14ac:dyDescent="0.2">
      <c r="A23" t="s">
        <v>58</v>
      </c>
      <c r="B23">
        <v>216.19542019477078</v>
      </c>
      <c r="C23">
        <v>21.788084749917299</v>
      </c>
    </row>
    <row r="24" spans="1:3" x14ac:dyDescent="0.2">
      <c r="A24" t="s">
        <v>59</v>
      </c>
      <c r="B24">
        <v>384.79508549321298</v>
      </c>
      <c r="C24">
        <v>36.630981363680718</v>
      </c>
    </row>
    <row r="25" spans="1:3" x14ac:dyDescent="0.2">
      <c r="A25" t="s">
        <v>60</v>
      </c>
      <c r="B25">
        <v>739.64534401269975</v>
      </c>
      <c r="C25">
        <v>67.944567004838149</v>
      </c>
    </row>
    <row r="26" spans="1:3" x14ac:dyDescent="0.2">
      <c r="A26" t="s">
        <v>61</v>
      </c>
      <c r="B26">
        <v>958.61676116573835</v>
      </c>
      <c r="C26">
        <v>91.047796173735904</v>
      </c>
    </row>
    <row r="27" spans="1:3" x14ac:dyDescent="0.2">
      <c r="A27" t="s">
        <v>62</v>
      </c>
      <c r="B27">
        <v>84.812569902947644</v>
      </c>
      <c r="C27">
        <v>13.320708422873816</v>
      </c>
    </row>
    <row r="28" spans="1:3" x14ac:dyDescent="0.2">
      <c r="A28" t="s">
        <v>63</v>
      </c>
      <c r="B28">
        <v>86.311233594489352</v>
      </c>
      <c r="C28">
        <v>14.498716090632815</v>
      </c>
    </row>
    <row r="29" spans="1:3" x14ac:dyDescent="0.2">
      <c r="A29" t="s">
        <v>64</v>
      </c>
      <c r="B29">
        <v>88.059674567954687</v>
      </c>
      <c r="C29">
        <v>15.94088305358626</v>
      </c>
    </row>
    <row r="30" spans="1:3" x14ac:dyDescent="0.2">
      <c r="A30" t="s">
        <v>65</v>
      </c>
      <c r="B30">
        <v>81.731983425889695</v>
      </c>
      <c r="C30">
        <v>14.634365458435369</v>
      </c>
    </row>
    <row r="31" spans="1:3" x14ac:dyDescent="0.2">
      <c r="A31" t="s">
        <v>66</v>
      </c>
      <c r="B31">
        <v>80.649615204220666</v>
      </c>
      <c r="C31">
        <v>19.610555424665815</v>
      </c>
    </row>
    <row r="32" spans="1:3" x14ac:dyDescent="0.2">
      <c r="A32" t="s">
        <v>67</v>
      </c>
      <c r="B32">
        <v>78.668048767626644</v>
      </c>
      <c r="C32">
        <v>21.373997206098988</v>
      </c>
    </row>
    <row r="33" spans="1:3" x14ac:dyDescent="0.2">
      <c r="A33" t="s">
        <v>68</v>
      </c>
      <c r="B33">
        <v>77.186036894879834</v>
      </c>
      <c r="C33">
        <v>21.131256232136526</v>
      </c>
    </row>
    <row r="34" spans="1:3" x14ac:dyDescent="0.2">
      <c r="A34" t="s">
        <v>69</v>
      </c>
      <c r="B34">
        <v>90.390929199241796</v>
      </c>
      <c r="C34">
        <v>21.916594677309192</v>
      </c>
    </row>
    <row r="35" spans="1:3" x14ac:dyDescent="0.2">
      <c r="A35" t="s">
        <v>70</v>
      </c>
      <c r="B35">
        <v>77.968672378240527</v>
      </c>
      <c r="C35">
        <v>27.092688975038136</v>
      </c>
    </row>
    <row r="36" spans="1:3" x14ac:dyDescent="0.2">
      <c r="A36" t="s">
        <v>71</v>
      </c>
      <c r="B36">
        <v>79.017736962319717</v>
      </c>
      <c r="C36">
        <v>44.927011120868336</v>
      </c>
    </row>
    <row r="37" spans="1:3" x14ac:dyDescent="0.2">
      <c r="A37" t="s">
        <v>72</v>
      </c>
      <c r="B37">
        <v>104.21193879901531</v>
      </c>
      <c r="C37">
        <v>56.407231301210608</v>
      </c>
    </row>
    <row r="38" spans="1:3" x14ac:dyDescent="0.2">
      <c r="A38" t="s">
        <v>73</v>
      </c>
      <c r="B38">
        <v>75.953802304056666</v>
      </c>
      <c r="C38">
        <v>10.657697149697407</v>
      </c>
    </row>
    <row r="39" spans="1:3" x14ac:dyDescent="0.2">
      <c r="A39" t="s">
        <v>74</v>
      </c>
      <c r="B39">
        <v>76.062039126223553</v>
      </c>
      <c r="C39">
        <v>10.429235056556267</v>
      </c>
    </row>
    <row r="40" spans="1:3" x14ac:dyDescent="0.2">
      <c r="A40" t="s">
        <v>75</v>
      </c>
      <c r="B40">
        <v>81.149169768067907</v>
      </c>
      <c r="C40">
        <v>10.80762539832128</v>
      </c>
    </row>
    <row r="41" spans="1:3" x14ac:dyDescent="0.2">
      <c r="A41" t="s">
        <v>76</v>
      </c>
      <c r="B41">
        <v>113.45369823018919</v>
      </c>
      <c r="C41">
        <v>12.835226474948895</v>
      </c>
    </row>
    <row r="42" spans="1:3" x14ac:dyDescent="0.2">
      <c r="A42" t="s">
        <v>77</v>
      </c>
      <c r="B42">
        <v>90.474188293216329</v>
      </c>
      <c r="C42">
        <v>10.657697149697407</v>
      </c>
    </row>
    <row r="43" spans="1:3" x14ac:dyDescent="0.2">
      <c r="A43" t="s">
        <v>78</v>
      </c>
      <c r="B43">
        <v>80.732874298195213</v>
      </c>
      <c r="C43">
        <v>11.178876299675633</v>
      </c>
    </row>
    <row r="44" spans="1:3" x14ac:dyDescent="0.2">
      <c r="A44" t="s">
        <v>79</v>
      </c>
      <c r="B44">
        <v>132.5200307503587</v>
      </c>
      <c r="C44">
        <v>13.934700298190627</v>
      </c>
    </row>
    <row r="45" spans="1:3" x14ac:dyDescent="0.2">
      <c r="A45" t="s">
        <v>80</v>
      </c>
      <c r="B45">
        <v>154.75020884156072</v>
      </c>
      <c r="C45">
        <v>14.819990909112544</v>
      </c>
    </row>
    <row r="46" spans="1:3" x14ac:dyDescent="0.2">
      <c r="A46" t="s">
        <v>81</v>
      </c>
      <c r="B46">
        <v>256.90911714832055</v>
      </c>
      <c r="C46">
        <v>23.287367236156033</v>
      </c>
    </row>
    <row r="47" spans="1:3" x14ac:dyDescent="0.2">
      <c r="A47" t="s">
        <v>82</v>
      </c>
      <c r="B47">
        <v>151.41984508257914</v>
      </c>
      <c r="C47">
        <v>15.612468794695873</v>
      </c>
    </row>
    <row r="48" spans="1:3" x14ac:dyDescent="0.2">
      <c r="A48" t="s">
        <v>83</v>
      </c>
      <c r="B48">
        <v>153.75109971386624</v>
      </c>
      <c r="C48">
        <v>18.418268876085492</v>
      </c>
    </row>
    <row r="49" spans="1:3" x14ac:dyDescent="0.2">
      <c r="A49" t="s">
        <v>84</v>
      </c>
      <c r="B49">
        <v>411.10495918916746</v>
      </c>
      <c r="C49">
        <v>37.352064845157443</v>
      </c>
    </row>
    <row r="50" spans="1:3" x14ac:dyDescent="0.2">
      <c r="A50" t="s">
        <v>85</v>
      </c>
      <c r="B50">
        <v>171.48528673044316</v>
      </c>
      <c r="C50">
        <v>19.275001725364763</v>
      </c>
    </row>
    <row r="51" spans="1:3" x14ac:dyDescent="0.2">
      <c r="A51" t="s">
        <v>86</v>
      </c>
      <c r="B51">
        <v>522.75540420902473</v>
      </c>
      <c r="C51">
        <v>46.954612197495955</v>
      </c>
    </row>
    <row r="52" spans="1:3" x14ac:dyDescent="0.2">
      <c r="A52" t="s">
        <v>87</v>
      </c>
      <c r="B52">
        <v>82.542371940575208</v>
      </c>
      <c r="C52">
        <v>13.08718922610846</v>
      </c>
    </row>
    <row r="53" spans="1:3" x14ac:dyDescent="0.2">
      <c r="A53" t="s">
        <v>88</v>
      </c>
      <c r="B53">
        <v>94.198645097010711</v>
      </c>
      <c r="C53">
        <v>13.615507816497344</v>
      </c>
    </row>
    <row r="54" spans="1:3" x14ac:dyDescent="0.2">
      <c r="A54" t="s">
        <v>89</v>
      </c>
      <c r="B54">
        <v>84.790367477887756</v>
      </c>
      <c r="C54">
        <v>11.68071946520832</v>
      </c>
    </row>
    <row r="55" spans="1:3" x14ac:dyDescent="0.2">
      <c r="A55" t="s">
        <v>90</v>
      </c>
      <c r="B55">
        <v>380.77644655737527</v>
      </c>
      <c r="C55">
        <v>15.214742468485323</v>
      </c>
    </row>
    <row r="56" spans="1:3" x14ac:dyDescent="0.2">
      <c r="A56" t="s">
        <v>91</v>
      </c>
      <c r="B56">
        <v>125.83710080733567</v>
      </c>
      <c r="C56">
        <v>15.985802032836668</v>
      </c>
    </row>
    <row r="57" spans="1:3" x14ac:dyDescent="0.2">
      <c r="A57" t="s">
        <v>92</v>
      </c>
      <c r="B57">
        <v>132.83086470119699</v>
      </c>
      <c r="C57">
        <v>16.978184249918492</v>
      </c>
    </row>
    <row r="58" spans="1:3" x14ac:dyDescent="0.2">
      <c r="A58" t="s">
        <v>93</v>
      </c>
      <c r="B58">
        <v>139.15855584326198</v>
      </c>
      <c r="C58">
        <v>18.477466736157218</v>
      </c>
    </row>
    <row r="59" spans="1:3" x14ac:dyDescent="0.2">
      <c r="A59" t="s">
        <v>94</v>
      </c>
      <c r="B59">
        <v>134.1630102047896</v>
      </c>
      <c r="C59">
        <v>17.406550674558133</v>
      </c>
    </row>
    <row r="60" spans="1:3" x14ac:dyDescent="0.2">
      <c r="A60" t="s">
        <v>95</v>
      </c>
      <c r="B60">
        <v>182.28676652207335</v>
      </c>
      <c r="C60">
        <v>23.332286215406441</v>
      </c>
    </row>
    <row r="61" spans="1:3" x14ac:dyDescent="0.2">
      <c r="A61" t="s">
        <v>96</v>
      </c>
      <c r="B61">
        <v>301.68030728156282</v>
      </c>
      <c r="C61">
        <v>36.511693213485927</v>
      </c>
    </row>
    <row r="62" spans="1:3" x14ac:dyDescent="0.2">
      <c r="A62" t="s">
        <v>97</v>
      </c>
      <c r="B62">
        <v>355.29916380116617</v>
      </c>
      <c r="C62">
        <v>42.401731552280935</v>
      </c>
    </row>
    <row r="63" spans="1:3" x14ac:dyDescent="0.2">
      <c r="A63" t="s">
        <v>98</v>
      </c>
      <c r="B63">
        <v>76.922383097293803</v>
      </c>
      <c r="C63">
        <v>17.256622425934257</v>
      </c>
    </row>
    <row r="64" spans="1:3" x14ac:dyDescent="0.2">
      <c r="A64" t="s">
        <v>99</v>
      </c>
      <c r="B64">
        <v>75.864992603817157</v>
      </c>
      <c r="C64">
        <v>16.906789845811886</v>
      </c>
    </row>
    <row r="65" spans="1:3" x14ac:dyDescent="0.2">
      <c r="A65" t="s">
        <v>100</v>
      </c>
      <c r="B65">
        <v>75.457023043341891</v>
      </c>
      <c r="C65">
        <v>17.87061430125107</v>
      </c>
    </row>
    <row r="66" spans="1:3" x14ac:dyDescent="0.2">
      <c r="A66" t="s">
        <v>101</v>
      </c>
      <c r="B66">
        <v>79.711562745440872</v>
      </c>
      <c r="C66">
        <v>20.704972144283335</v>
      </c>
    </row>
    <row r="67" spans="1:3" x14ac:dyDescent="0.2">
      <c r="A67" t="s">
        <v>102</v>
      </c>
      <c r="B67">
        <v>72.334807019296676</v>
      </c>
      <c r="C67">
        <v>21.340382340832129</v>
      </c>
    </row>
    <row r="68" spans="1:3" x14ac:dyDescent="0.2">
      <c r="A68" t="s">
        <v>103</v>
      </c>
      <c r="B68">
        <v>76.789168546934533</v>
      </c>
      <c r="C68">
        <v>23.318007334585118</v>
      </c>
    </row>
    <row r="69" spans="1:3" x14ac:dyDescent="0.2">
      <c r="A69" t="s">
        <v>104</v>
      </c>
      <c r="B69">
        <v>76.381198986459282</v>
      </c>
      <c r="C69">
        <v>23.896302007848629</v>
      </c>
    </row>
    <row r="70" spans="1:3" x14ac:dyDescent="0.2">
      <c r="A70" t="s">
        <v>105</v>
      </c>
      <c r="B70">
        <v>82.042817376727967</v>
      </c>
      <c r="C70">
        <v>23.78921040168872</v>
      </c>
    </row>
    <row r="71" spans="1:3" x14ac:dyDescent="0.2">
      <c r="A71" t="s">
        <v>106</v>
      </c>
      <c r="B71">
        <v>78.962230899670004</v>
      </c>
      <c r="C71">
        <v>30.564539351405639</v>
      </c>
    </row>
    <row r="72" spans="1:3" x14ac:dyDescent="0.2">
      <c r="A72" t="s">
        <v>107</v>
      </c>
      <c r="B72">
        <v>75.290504855392825</v>
      </c>
      <c r="C72">
        <v>47.435037041796662</v>
      </c>
    </row>
    <row r="73" spans="1:3" x14ac:dyDescent="0.2">
      <c r="A73" t="s">
        <v>108</v>
      </c>
      <c r="B73">
        <v>74.699365288173595</v>
      </c>
      <c r="C73">
        <v>65.96902434787161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ABBCF-8AA1-4C61-9CB0-F1552C5D92F2}">
  <dimension ref="A1:G85"/>
  <sheetViews>
    <sheetView zoomScaleNormal="100" workbookViewId="0">
      <selection activeCell="E13" sqref="E13:G85"/>
    </sheetView>
  </sheetViews>
  <sheetFormatPr baseColWidth="10" defaultColWidth="8.83203125" defaultRowHeight="15" x14ac:dyDescent="0.2"/>
  <cols>
    <col min="1" max="1" width="32.5" bestFit="1" customWidth="1"/>
    <col min="2" max="2" width="15.5" bestFit="1" customWidth="1"/>
    <col min="3" max="3" width="12.1640625" bestFit="1" customWidth="1"/>
    <col min="4" max="4" width="15.33203125" customWidth="1"/>
    <col min="5" max="5" width="32.5" bestFit="1" customWidth="1"/>
    <col min="6" max="6" width="20.83203125" customWidth="1"/>
    <col min="7" max="7" width="19.33203125" customWidth="1"/>
    <col min="8" max="8" width="11.83203125" bestFit="1" customWidth="1"/>
  </cols>
  <sheetData>
    <row r="1" spans="1:7" x14ac:dyDescent="0.2">
      <c r="C1" s="8" t="s">
        <v>18</v>
      </c>
    </row>
    <row r="2" spans="1:7" x14ac:dyDescent="0.2">
      <c r="C2" t="s">
        <v>19</v>
      </c>
    </row>
    <row r="3" spans="1:7" x14ac:dyDescent="0.2">
      <c r="C3" t="s">
        <v>20</v>
      </c>
    </row>
    <row r="4" spans="1:7" x14ac:dyDescent="0.2">
      <c r="C4" t="s">
        <v>21</v>
      </c>
    </row>
    <row r="5" spans="1:7" x14ac:dyDescent="0.2">
      <c r="C5" t="s">
        <v>22</v>
      </c>
    </row>
    <row r="6" spans="1:7" x14ac:dyDescent="0.2">
      <c r="C6" t="s">
        <v>23</v>
      </c>
    </row>
    <row r="7" spans="1:7" x14ac:dyDescent="0.2">
      <c r="C7" t="s">
        <v>24</v>
      </c>
    </row>
    <row r="9" spans="1:7" x14ac:dyDescent="0.2">
      <c r="C9" s="8" t="s">
        <v>25</v>
      </c>
      <c r="E9" s="13">
        <v>45996</v>
      </c>
    </row>
    <row r="10" spans="1:7" x14ac:dyDescent="0.2">
      <c r="C10" s="8"/>
    </row>
    <row r="11" spans="1:7" x14ac:dyDescent="0.2">
      <c r="C11" s="8" t="s">
        <v>26</v>
      </c>
      <c r="D11" t="s">
        <v>32</v>
      </c>
      <c r="F11" s="9"/>
    </row>
    <row r="13" spans="1:7" ht="15" customHeight="1" x14ac:dyDescent="0.2">
      <c r="A13" s="5" t="s">
        <v>12</v>
      </c>
      <c r="B13" s="5" t="s">
        <v>13</v>
      </c>
      <c r="C13" s="5" t="s">
        <v>14</v>
      </c>
      <c r="E13" s="5" t="s">
        <v>12</v>
      </c>
      <c r="F13" s="5" t="s">
        <v>15</v>
      </c>
      <c r="G13" s="5" t="s">
        <v>16</v>
      </c>
    </row>
    <row r="14" spans="1:7" x14ac:dyDescent="0.2">
      <c r="A14" s="6" t="str">
        <f>'Run File 05.20.26'!A17</f>
        <v>R1</v>
      </c>
      <c r="B14" s="16">
        <f>'Run File 05.20.26'!B17</f>
        <v>0.99765833333333331</v>
      </c>
      <c r="C14" s="16">
        <f>'Run File 05.20.26'!C17</f>
        <v>0.14147916666666668</v>
      </c>
      <c r="E14" s="11" t="str">
        <f>A14</f>
        <v>R1</v>
      </c>
      <c r="F14" s="12">
        <f>B14/12.0107*1000</f>
        <v>83.064128929482322</v>
      </c>
      <c r="G14" s="12">
        <f>C14/14.0067*1000</f>
        <v>10.100820797665879</v>
      </c>
    </row>
    <row r="15" spans="1:7" x14ac:dyDescent="0.2">
      <c r="A15" s="6" t="str">
        <f>'Run File 05.20.26'!A18</f>
        <v>R2</v>
      </c>
      <c r="B15" s="16">
        <f>'Run File 05.20.26'!B18</f>
        <v>0.94995833333333324</v>
      </c>
      <c r="C15" s="16">
        <f>'Run File 05.20.26'!C18</f>
        <v>0.14047916666666668</v>
      </c>
      <c r="E15" s="11" t="str">
        <f t="shared" ref="E15:E75" si="0">A15</f>
        <v>R2</v>
      </c>
      <c r="F15" s="12">
        <f t="shared" ref="F15:F75" si="1">B15/12.0107*1000</f>
        <v>79.092670146896793</v>
      </c>
      <c r="G15" s="12">
        <f t="shared" ref="G15:G75" si="2">C15/14.0067*1000</f>
        <v>10.029426393559273</v>
      </c>
    </row>
    <row r="16" spans="1:7" x14ac:dyDescent="0.2">
      <c r="A16" s="6" t="str">
        <f>'Run File 05.20.26'!A19</f>
        <v>R3</v>
      </c>
      <c r="B16" s="16">
        <f>'Run File 05.20.26'!B19</f>
        <v>0.92745833333333327</v>
      </c>
      <c r="C16" s="16">
        <f>'Run File 05.20.26'!C19</f>
        <v>0.15187916666666668</v>
      </c>
      <c r="E16" s="11" t="str">
        <f t="shared" si="0"/>
        <v>R3</v>
      </c>
      <c r="F16" s="12">
        <f t="shared" si="1"/>
        <v>77.219340532469644</v>
      </c>
      <c r="G16" s="12">
        <f t="shared" si="2"/>
        <v>10.843322600374583</v>
      </c>
    </row>
    <row r="17" spans="1:7" x14ac:dyDescent="0.2">
      <c r="A17" s="6" t="str">
        <f>'Run File 05.20.26'!A20</f>
        <v>R4</v>
      </c>
      <c r="B17" s="16">
        <f>'Run File 05.20.26'!B20</f>
        <v>0.96965833333333329</v>
      </c>
      <c r="C17" s="16">
        <f>'Run File 05.20.26'!C20</f>
        <v>0.17517916666666669</v>
      </c>
      <c r="E17" s="11" t="str">
        <f t="shared" si="0"/>
        <v>R4</v>
      </c>
      <c r="F17" s="12">
        <f t="shared" si="1"/>
        <v>80.732874298195213</v>
      </c>
      <c r="G17" s="12">
        <f t="shared" si="2"/>
        <v>12.506812216058506</v>
      </c>
    </row>
    <row r="18" spans="1:7" x14ac:dyDescent="0.2">
      <c r="A18" s="6" t="str">
        <f>'Run File 05.20.26'!A21</f>
        <v>R5</v>
      </c>
      <c r="B18" s="16">
        <f>'Run File 05.20.26'!B21</f>
        <v>3.9736583333333333</v>
      </c>
      <c r="C18" s="16">
        <f>'Run File 05.20.26'!C21</f>
        <v>0.19997916666666668</v>
      </c>
      <c r="E18" s="11" t="str">
        <f t="shared" si="0"/>
        <v>R5</v>
      </c>
      <c r="F18" s="12">
        <f t="shared" si="1"/>
        <v>330.84319259771149</v>
      </c>
      <c r="G18" s="12">
        <f t="shared" si="2"/>
        <v>14.277393437902337</v>
      </c>
    </row>
    <row r="19" spans="1:7" x14ac:dyDescent="0.2">
      <c r="A19" s="6" t="str">
        <f>'Run File 05.20.26'!A22</f>
        <v>R6</v>
      </c>
      <c r="B19" s="16">
        <f>'Run File 05.20.26'!B22</f>
        <v>1.2786583333333332</v>
      </c>
      <c r="C19" s="16">
        <f>'Run File 05.20.26'!C22</f>
        <v>0.18407916666666668</v>
      </c>
      <c r="E19" s="11" t="str">
        <f t="shared" si="0"/>
        <v>R6</v>
      </c>
      <c r="F19" s="12">
        <f t="shared" si="1"/>
        <v>106.45993433632788</v>
      </c>
      <c r="G19" s="12">
        <f t="shared" si="2"/>
        <v>13.142222412607302</v>
      </c>
    </row>
    <row r="20" spans="1:7" x14ac:dyDescent="0.2">
      <c r="A20" s="6" t="str">
        <f>'Run File 05.20.26'!A23</f>
        <v>R7</v>
      </c>
      <c r="B20" s="16">
        <f>'Run File 05.20.26'!B23</f>
        <v>1.7436583333333333</v>
      </c>
      <c r="C20" s="16">
        <f>'Run File 05.20.26'!C23</f>
        <v>0.19737916666666669</v>
      </c>
      <c r="E20" s="11" t="str">
        <f t="shared" si="0"/>
        <v>R7</v>
      </c>
      <c r="F20" s="12">
        <f t="shared" si="1"/>
        <v>145.17541303448868</v>
      </c>
      <c r="G20" s="12">
        <f t="shared" si="2"/>
        <v>14.091767987225163</v>
      </c>
    </row>
    <row r="21" spans="1:7" x14ac:dyDescent="0.2">
      <c r="A21" s="6" t="str">
        <f>'Run File 05.20.26'!A24</f>
        <v>R8</v>
      </c>
      <c r="B21" s="16">
        <f>'Run File 05.20.26'!B24</f>
        <v>2.5816583333333334</v>
      </c>
      <c r="C21" s="16">
        <f>'Run File 05.20.26'!C24</f>
        <v>0.24227916666666668</v>
      </c>
      <c r="E21" s="11" t="str">
        <f t="shared" si="0"/>
        <v>R8</v>
      </c>
      <c r="F21" s="12">
        <f t="shared" si="1"/>
        <v>214.9465337851527</v>
      </c>
      <c r="G21" s="12">
        <f t="shared" si="2"/>
        <v>17.297376731611777</v>
      </c>
    </row>
    <row r="22" spans="1:7" x14ac:dyDescent="0.2">
      <c r="A22" s="6" t="str">
        <f>'Run File 05.20.26'!A25</f>
        <v>R9</v>
      </c>
      <c r="B22" s="16">
        <f>'Run File 05.20.26'!B25</f>
        <v>2.7776583333333336</v>
      </c>
      <c r="C22" s="16">
        <f>'Run File 05.20.26'!C25</f>
        <v>0.26807916666666665</v>
      </c>
      <c r="E22" s="11" t="str">
        <f t="shared" si="0"/>
        <v>R9</v>
      </c>
      <c r="F22" s="12">
        <f t="shared" si="1"/>
        <v>231.26531620416242</v>
      </c>
      <c r="G22" s="12">
        <f t="shared" si="2"/>
        <v>19.13935235756221</v>
      </c>
    </row>
    <row r="23" spans="1:7" x14ac:dyDescent="0.2">
      <c r="A23" s="6" t="str">
        <f>'Run File 05.20.26'!A26</f>
        <v>R10</v>
      </c>
      <c r="B23" s="16">
        <f>'Run File 05.20.26'!B26</f>
        <v>2.8346583333333335</v>
      </c>
      <c r="C23" s="16">
        <f>'Run File 05.20.26'!C26</f>
        <v>0.30527916666666666</v>
      </c>
      <c r="E23" s="11" t="str">
        <f t="shared" si="0"/>
        <v>R10</v>
      </c>
      <c r="F23" s="12">
        <f t="shared" si="1"/>
        <v>236.01108456071114</v>
      </c>
      <c r="G23" s="12">
        <f t="shared" si="2"/>
        <v>21.795224190327961</v>
      </c>
    </row>
    <row r="24" spans="1:7" x14ac:dyDescent="0.2">
      <c r="A24" s="6" t="str">
        <f>'Run File 05.20.26'!A30</f>
        <v>R11</v>
      </c>
      <c r="B24" s="16">
        <f>'Run File 05.20.26'!B30</f>
        <v>2.7346583333333334</v>
      </c>
      <c r="C24" s="16">
        <f>'Run File 05.20.26'!C30</f>
        <v>0.25697916666666665</v>
      </c>
      <c r="E24" s="11" t="str">
        <f t="shared" si="0"/>
        <v>R11</v>
      </c>
      <c r="F24" s="12">
        <f t="shared" si="1"/>
        <v>227.68517516325721</v>
      </c>
      <c r="G24" s="12">
        <f t="shared" si="2"/>
        <v>18.346874471978886</v>
      </c>
    </row>
    <row r="25" spans="1:7" x14ac:dyDescent="0.2">
      <c r="A25" s="6" t="str">
        <f>'Run File 05.20.26'!A31</f>
        <v>R12</v>
      </c>
      <c r="B25" s="16">
        <f>'Run File 05.20.26'!B31</f>
        <v>4.6406583333333327</v>
      </c>
      <c r="C25" s="16">
        <f>'Run File 05.20.26'!C31</f>
        <v>0.39937916666666667</v>
      </c>
      <c r="E25" s="11" t="str">
        <f t="shared" si="0"/>
        <v>R12</v>
      </c>
      <c r="F25" s="12">
        <f t="shared" si="1"/>
        <v>386.37700827872919</v>
      </c>
      <c r="G25" s="12">
        <f t="shared" si="2"/>
        <v>28.513437616759596</v>
      </c>
    </row>
    <row r="26" spans="1:7" x14ac:dyDescent="0.2">
      <c r="A26" s="6" t="str">
        <f>'Run File 05.20.26'!A32</f>
        <v>R13</v>
      </c>
      <c r="B26" s="16">
        <f>'Run File 05.26.26'!B18</f>
        <v>8.9426583333333323</v>
      </c>
      <c r="C26" s="16">
        <f>'Run File 05.20.26'!C32</f>
        <v>0.71767916666666665</v>
      </c>
      <c r="E26" s="11" t="str">
        <f t="shared" si="0"/>
        <v>R13</v>
      </c>
      <c r="F26" s="12">
        <f t="shared" si="1"/>
        <v>744.55763055719751</v>
      </c>
      <c r="G26" s="12">
        <f t="shared" si="2"/>
        <v>51.238276443892325</v>
      </c>
    </row>
    <row r="27" spans="1:7" x14ac:dyDescent="0.2">
      <c r="A27" s="6" t="str">
        <f>'Run File 05.20.26'!A33</f>
        <v>R14</v>
      </c>
      <c r="B27" s="16">
        <f>'Run File 05.26.26'!B17</f>
        <v>10.523391666666667</v>
      </c>
      <c r="C27" s="16">
        <f>'Run File 05.20.26'!C33</f>
        <v>0.85060833333333341</v>
      </c>
      <c r="E27" s="11" t="str">
        <f t="shared" si="0"/>
        <v>R14</v>
      </c>
      <c r="F27" s="12">
        <f t="shared" si="1"/>
        <v>876.16805570588451</v>
      </c>
      <c r="G27" s="12">
        <f t="shared" si="2"/>
        <v>60.728675086446728</v>
      </c>
    </row>
    <row r="28" spans="1:7" x14ac:dyDescent="0.2">
      <c r="A28" s="6" t="str">
        <f>'Run File 05.20.26'!A34</f>
        <v>R15</v>
      </c>
      <c r="B28" s="16">
        <f>'Run File 05.20.26'!B34</f>
        <v>1.1416583333333332</v>
      </c>
      <c r="C28" s="16">
        <f>'Run File 05.20.26'!C34</f>
        <v>0.16937916666666669</v>
      </c>
      <c r="E28" s="11" t="str">
        <f t="shared" si="0"/>
        <v>R15</v>
      </c>
      <c r="F28" s="12">
        <f t="shared" si="1"/>
        <v>95.053438461815972</v>
      </c>
      <c r="G28" s="12">
        <f t="shared" si="2"/>
        <v>12.092724672240191</v>
      </c>
    </row>
    <row r="29" spans="1:7" x14ac:dyDescent="0.2">
      <c r="A29" s="6" t="str">
        <f>'Run File 05.20.26'!A35</f>
        <v>R16</v>
      </c>
      <c r="B29" s="16">
        <f>'Run File 05.20.26'!B35</f>
        <v>1.0636583333333334</v>
      </c>
      <c r="C29" s="16">
        <f>'Run File 05.20.26'!C35</f>
        <v>0.15297916666666669</v>
      </c>
      <c r="E29" s="11" t="str">
        <f t="shared" si="0"/>
        <v>R16</v>
      </c>
      <c r="F29" s="12">
        <f t="shared" si="1"/>
        <v>88.559229131801914</v>
      </c>
      <c r="G29" s="12">
        <f t="shared" si="2"/>
        <v>10.921856444891851</v>
      </c>
    </row>
    <row r="30" spans="1:7" x14ac:dyDescent="0.2">
      <c r="A30" s="6" t="str">
        <f>'Run File 05.20.26'!A36</f>
        <v>R17</v>
      </c>
      <c r="B30" s="16">
        <f>'Run File 05.20.26'!B36</f>
        <v>1.0766583333333333</v>
      </c>
      <c r="C30" s="16">
        <f>'Run File 05.20.26'!C36</f>
        <v>0.15217916666666667</v>
      </c>
      <c r="E30" s="11" t="str">
        <f t="shared" si="0"/>
        <v>R17</v>
      </c>
      <c r="F30" s="12">
        <f t="shared" si="1"/>
        <v>89.641597353470928</v>
      </c>
      <c r="G30" s="12">
        <f t="shared" si="2"/>
        <v>10.864740921606565</v>
      </c>
    </row>
    <row r="31" spans="1:7" x14ac:dyDescent="0.2">
      <c r="A31" s="6" t="str">
        <f>'Run File 05.20.26'!A37</f>
        <v>R18</v>
      </c>
      <c r="B31" s="16">
        <f>'Run File 05.20.26'!B37</f>
        <v>1.7446583333333332</v>
      </c>
      <c r="C31" s="16">
        <f>'Run File 05.20.26'!C37</f>
        <v>0.22957916666666667</v>
      </c>
      <c r="E31" s="11" t="str">
        <f t="shared" si="0"/>
        <v>R18</v>
      </c>
      <c r="F31" s="12">
        <f t="shared" si="1"/>
        <v>145.25867212846322</v>
      </c>
      <c r="G31" s="12">
        <f t="shared" si="2"/>
        <v>16.39066779945788</v>
      </c>
    </row>
    <row r="32" spans="1:7" x14ac:dyDescent="0.2">
      <c r="A32" s="6" t="str">
        <f>'Run File 05.20.26'!A38</f>
        <v>R19</v>
      </c>
      <c r="B32" s="16">
        <f>'Run File 05.20.26'!B38</f>
        <v>2.1446583333333336</v>
      </c>
      <c r="C32" s="16">
        <f>'Run File 05.20.26'!C38</f>
        <v>0.25337916666666671</v>
      </c>
      <c r="E32" s="11" t="str">
        <f t="shared" si="0"/>
        <v>R19</v>
      </c>
      <c r="F32" s="12">
        <f t="shared" si="1"/>
        <v>178.56230971827898</v>
      </c>
      <c r="G32" s="12">
        <f t="shared" si="2"/>
        <v>18.089854617195108</v>
      </c>
    </row>
    <row r="33" spans="1:7" x14ac:dyDescent="0.2">
      <c r="A33" s="6" t="str">
        <f>'Run File 05.20.26'!A39</f>
        <v>R20</v>
      </c>
      <c r="B33" s="16">
        <f>'Run File 05.20.26'!B39</f>
        <v>2.4916583333333335</v>
      </c>
      <c r="C33" s="16">
        <f>'Run File 05.20.26'!C39</f>
        <v>0.30767916666666667</v>
      </c>
      <c r="E33" s="11" t="str">
        <f t="shared" si="0"/>
        <v>R20</v>
      </c>
      <c r="F33" s="12">
        <f t="shared" si="1"/>
        <v>207.45321532744416</v>
      </c>
      <c r="G33" s="12">
        <f t="shared" si="2"/>
        <v>21.966570760183817</v>
      </c>
    </row>
    <row r="34" spans="1:7" x14ac:dyDescent="0.2">
      <c r="A34" s="6" t="str">
        <f>'Run File 05.20.26'!A43</f>
        <v>R21</v>
      </c>
      <c r="B34" s="16">
        <f>'Run File 05.20.26'!B43</f>
        <v>2.5996583333333336</v>
      </c>
      <c r="C34" s="16">
        <f>'Run File 05.20.26'!C43</f>
        <v>0.30017916666666666</v>
      </c>
      <c r="E34" s="11" t="str">
        <f t="shared" si="0"/>
        <v>R21</v>
      </c>
      <c r="F34" s="12">
        <f t="shared" si="1"/>
        <v>216.4451974766944</v>
      </c>
      <c r="G34" s="12">
        <f t="shared" si="2"/>
        <v>21.431112729384271</v>
      </c>
    </row>
    <row r="35" spans="1:7" x14ac:dyDescent="0.2">
      <c r="A35" s="6" t="str">
        <f>'Run File 05.20.26'!A44</f>
        <v>R22</v>
      </c>
      <c r="B35" s="16">
        <f>'Run File 05.20.26'!B44</f>
        <v>2.5966583333333335</v>
      </c>
      <c r="C35" s="16">
        <f>'Run File 05.20.26'!C44</f>
        <v>0.30517916666666667</v>
      </c>
      <c r="E35" s="11" t="str">
        <f t="shared" si="0"/>
        <v>R22</v>
      </c>
      <c r="F35" s="12">
        <f t="shared" si="1"/>
        <v>216.19542019477078</v>
      </c>
      <c r="G35" s="12">
        <f t="shared" si="2"/>
        <v>21.788084749917299</v>
      </c>
    </row>
    <row r="36" spans="1:7" x14ac:dyDescent="0.2">
      <c r="A36" s="6" t="str">
        <f>'Run File 05.20.26'!A45</f>
        <v>R23</v>
      </c>
      <c r="B36" s="16">
        <f>'Run File 05.20.26'!B45</f>
        <v>4.6216583333333334</v>
      </c>
      <c r="C36" s="16">
        <f>'Run File 05.20.26'!C45</f>
        <v>0.51307916666666675</v>
      </c>
      <c r="E36" s="11" t="str">
        <f t="shared" si="0"/>
        <v>R23</v>
      </c>
      <c r="F36" s="12">
        <f t="shared" si="1"/>
        <v>384.79508549321298</v>
      </c>
      <c r="G36" s="12">
        <f t="shared" si="2"/>
        <v>36.630981363680718</v>
      </c>
    </row>
    <row r="37" spans="1:7" x14ac:dyDescent="0.2">
      <c r="A37" s="6" t="str">
        <f>'Run File 05.20.26'!A46</f>
        <v>R24</v>
      </c>
      <c r="B37" s="16">
        <f>'Run File 05.26.26'!B19</f>
        <v>8.883658333333333</v>
      </c>
      <c r="C37" s="16">
        <f>'Run File 05.20.26'!C46</f>
        <v>0.95167916666666663</v>
      </c>
      <c r="E37" s="11" t="str">
        <f t="shared" si="0"/>
        <v>R24</v>
      </c>
      <c r="F37" s="12">
        <f t="shared" si="1"/>
        <v>739.64534401269975</v>
      </c>
      <c r="G37" s="12">
        <f t="shared" si="2"/>
        <v>67.944567004838149</v>
      </c>
    </row>
    <row r="38" spans="1:7" x14ac:dyDescent="0.2">
      <c r="A38" s="6" t="str">
        <f>'Run File 05.20.26'!A47</f>
        <v>R25</v>
      </c>
      <c r="B38" s="16">
        <f>'Run File 05.26.26'!B20</f>
        <v>11.513658333333334</v>
      </c>
      <c r="C38" s="16">
        <f>'Run File 05.20.26'!C47</f>
        <v>1.2752791666666667</v>
      </c>
      <c r="E38" s="11" t="str">
        <f t="shared" si="0"/>
        <v>R25</v>
      </c>
      <c r="F38" s="12">
        <f t="shared" si="1"/>
        <v>958.61676116573835</v>
      </c>
      <c r="G38" s="12">
        <f t="shared" si="2"/>
        <v>91.047796173735904</v>
      </c>
    </row>
    <row r="39" spans="1:7" x14ac:dyDescent="0.2">
      <c r="A39" s="6" t="str">
        <f>'Run File 05.20.26'!A48</f>
        <v>R26</v>
      </c>
      <c r="B39" s="16">
        <f>'Run File 05.20.26'!B48</f>
        <v>1.0186583333333332</v>
      </c>
      <c r="C39" s="16">
        <f>'Run File 05.20.26'!C48</f>
        <v>0.18657916666666668</v>
      </c>
      <c r="E39" s="11" t="str">
        <f t="shared" si="0"/>
        <v>R26</v>
      </c>
      <c r="F39" s="12">
        <f t="shared" si="1"/>
        <v>84.812569902947644</v>
      </c>
      <c r="G39" s="12">
        <f t="shared" si="2"/>
        <v>13.320708422873816</v>
      </c>
    </row>
    <row r="40" spans="1:7" x14ac:dyDescent="0.2">
      <c r="A40" s="6" t="str">
        <f>'Run File 05.20.26'!A49</f>
        <v>R27</v>
      </c>
      <c r="B40" s="16">
        <f>'Run File 05.20.26'!B49</f>
        <v>1.0366583333333332</v>
      </c>
      <c r="C40" s="16">
        <f>'Run File 05.20.26'!C49</f>
        <v>0.20307916666666667</v>
      </c>
      <c r="E40" s="11" t="str">
        <f t="shared" si="0"/>
        <v>R27</v>
      </c>
      <c r="F40" s="12">
        <f t="shared" si="1"/>
        <v>86.311233594489352</v>
      </c>
      <c r="G40" s="12">
        <f t="shared" si="2"/>
        <v>14.498716090632815</v>
      </c>
    </row>
    <row r="41" spans="1:7" x14ac:dyDescent="0.2">
      <c r="A41" s="6" t="str">
        <f>'Run File 05.20.26'!A50</f>
        <v>R28</v>
      </c>
      <c r="B41" s="16">
        <f>'Run File 05.20.26'!B50</f>
        <v>1.0576583333333334</v>
      </c>
      <c r="C41" s="16">
        <f>'Run File 05.20.26'!C50</f>
        <v>0.22327916666666667</v>
      </c>
      <c r="E41" s="11" t="str">
        <f t="shared" si="0"/>
        <v>R28</v>
      </c>
      <c r="F41" s="12">
        <f t="shared" si="1"/>
        <v>88.059674567954687</v>
      </c>
      <c r="G41" s="12">
        <f t="shared" si="2"/>
        <v>15.94088305358626</v>
      </c>
    </row>
    <row r="42" spans="1:7" x14ac:dyDescent="0.2">
      <c r="A42" s="6" t="str">
        <f>'Run File 05.20.26'!A51</f>
        <v>R29</v>
      </c>
      <c r="B42" s="16">
        <f>'Run File 05.20.26'!B51</f>
        <v>0.9816583333333333</v>
      </c>
      <c r="C42" s="16">
        <f>'Run File 05.20.26'!C51</f>
        <v>0.20497916666666668</v>
      </c>
      <c r="E42" s="11" t="str">
        <f t="shared" si="0"/>
        <v>R29</v>
      </c>
      <c r="F42" s="12">
        <f t="shared" si="1"/>
        <v>81.731983425889695</v>
      </c>
      <c r="G42" s="12">
        <f t="shared" si="2"/>
        <v>14.634365458435369</v>
      </c>
    </row>
    <row r="43" spans="1:7" x14ac:dyDescent="0.2">
      <c r="A43" s="6" t="str">
        <f>'Run File 05.20.26'!A52</f>
        <v>R30</v>
      </c>
      <c r="B43" s="16">
        <f>'Run File 05.20.26'!B52</f>
        <v>0.96865833333333318</v>
      </c>
      <c r="C43" s="16">
        <f>'Run File 05.20.26'!C52</f>
        <v>0.2746791666666667</v>
      </c>
      <c r="E43" s="11" t="str">
        <f t="shared" si="0"/>
        <v>R30</v>
      </c>
      <c r="F43" s="12">
        <f t="shared" si="1"/>
        <v>80.649615204220666</v>
      </c>
      <c r="G43" s="12">
        <f t="shared" si="2"/>
        <v>19.610555424665815</v>
      </c>
    </row>
    <row r="44" spans="1:7" x14ac:dyDescent="0.2">
      <c r="A44" s="6" t="str">
        <f>'Run File 05.20.26'!A56</f>
        <v>R31</v>
      </c>
      <c r="B44" s="16">
        <f>'Run File 05.20.26'!B56</f>
        <v>0.94485833333333336</v>
      </c>
      <c r="C44" s="16">
        <f>'Run File 05.20.26'!C56</f>
        <v>0.2993791666666667</v>
      </c>
      <c r="E44" s="11" t="str">
        <f t="shared" si="0"/>
        <v>R31</v>
      </c>
      <c r="F44" s="12">
        <f t="shared" si="1"/>
        <v>78.668048767626644</v>
      </c>
      <c r="G44" s="12">
        <f t="shared" si="2"/>
        <v>21.373997206098988</v>
      </c>
    </row>
    <row r="45" spans="1:7" x14ac:dyDescent="0.2">
      <c r="A45" s="6" t="str">
        <f>'Run File 05.20.26'!A57</f>
        <v>R32</v>
      </c>
      <c r="B45" s="16">
        <f>'Run File 05.20.26'!B57</f>
        <v>0.92705833333333332</v>
      </c>
      <c r="C45" s="16">
        <f>'Run File 05.20.26'!C57</f>
        <v>0.29597916666666668</v>
      </c>
      <c r="E45" s="11" t="str">
        <f t="shared" si="0"/>
        <v>R32</v>
      </c>
      <c r="F45" s="12">
        <f t="shared" si="1"/>
        <v>77.186036894879834</v>
      </c>
      <c r="G45" s="12">
        <f t="shared" si="2"/>
        <v>21.131256232136526</v>
      </c>
    </row>
    <row r="46" spans="1:7" x14ac:dyDescent="0.2">
      <c r="A46" s="6" t="str">
        <f>'Run File 05.20.26'!A58</f>
        <v>R33</v>
      </c>
      <c r="B46" s="16">
        <f>'Run File 05.20.26'!B58</f>
        <v>1.0856583333333334</v>
      </c>
      <c r="C46" s="16">
        <f>'Run File 05.20.26'!C58</f>
        <v>0.30697916666666669</v>
      </c>
      <c r="E46" s="11" t="str">
        <f t="shared" si="0"/>
        <v>R33</v>
      </c>
      <c r="F46" s="12">
        <f t="shared" si="1"/>
        <v>90.390929199241796</v>
      </c>
      <c r="G46" s="12">
        <f t="shared" si="2"/>
        <v>21.916594677309192</v>
      </c>
    </row>
    <row r="47" spans="1:7" x14ac:dyDescent="0.2">
      <c r="A47" s="6" t="str">
        <f>'Run File 05.20.26'!A59</f>
        <v>R34</v>
      </c>
      <c r="B47" s="16">
        <f>'Run File 05.20.26'!B59</f>
        <v>0.93645833333333339</v>
      </c>
      <c r="C47" s="16">
        <f>'Run File 05.20.26'!C59</f>
        <v>0.3794791666666667</v>
      </c>
      <c r="E47" s="11" t="str">
        <f t="shared" si="0"/>
        <v>R34</v>
      </c>
      <c r="F47" s="12">
        <f t="shared" si="1"/>
        <v>77.968672378240527</v>
      </c>
      <c r="G47" s="12">
        <f t="shared" si="2"/>
        <v>27.092688975038136</v>
      </c>
    </row>
    <row r="48" spans="1:7" x14ac:dyDescent="0.2">
      <c r="A48" s="6" t="str">
        <f>'Run File 05.20.26'!A60</f>
        <v>R35</v>
      </c>
      <c r="B48" s="16">
        <f>'Run File 05.20.26'!B60</f>
        <v>0.94905833333333334</v>
      </c>
      <c r="C48" s="16">
        <f>'Run File 05.20.26'!C60</f>
        <v>0.62927916666666661</v>
      </c>
      <c r="E48" s="11" t="str">
        <f t="shared" si="0"/>
        <v>R35</v>
      </c>
      <c r="F48" s="12">
        <f t="shared" si="1"/>
        <v>79.017736962319717</v>
      </c>
      <c r="G48" s="12">
        <f t="shared" si="2"/>
        <v>44.927011120868336</v>
      </c>
    </row>
    <row r="49" spans="1:7" x14ac:dyDescent="0.2">
      <c r="A49" s="6" t="str">
        <f>'Run File 05.20.26'!A61</f>
        <v>R36</v>
      </c>
      <c r="B49" s="16">
        <f>'Run File 05.20.26'!B61</f>
        <v>1.2516583333333333</v>
      </c>
      <c r="C49" s="16">
        <f>'Run File 05.20.26'!C61</f>
        <v>0.79007916666666667</v>
      </c>
      <c r="E49" s="11" t="str">
        <f t="shared" si="0"/>
        <v>R36</v>
      </c>
      <c r="F49" s="12">
        <f t="shared" si="1"/>
        <v>104.21193879901531</v>
      </c>
      <c r="G49" s="12">
        <f t="shared" si="2"/>
        <v>56.407231301210608</v>
      </c>
    </row>
    <row r="50" spans="1:7" x14ac:dyDescent="0.2">
      <c r="A50" s="6" t="str">
        <f>'Run File 05.20.26'!A62</f>
        <v>R37</v>
      </c>
      <c r="B50" s="16">
        <f>'Run File 05.20.26'!B62</f>
        <v>0.91225833333333339</v>
      </c>
      <c r="C50" s="16">
        <f>'Run File 05.20.26'!C62</f>
        <v>0.14927916666666668</v>
      </c>
      <c r="E50" s="11" t="str">
        <f t="shared" si="0"/>
        <v>R37</v>
      </c>
      <c r="F50" s="12">
        <f t="shared" si="1"/>
        <v>75.953802304056666</v>
      </c>
      <c r="G50" s="12">
        <f t="shared" si="2"/>
        <v>10.657697149697407</v>
      </c>
    </row>
    <row r="51" spans="1:7" x14ac:dyDescent="0.2">
      <c r="A51" s="6" t="str">
        <f>'Run File 05.20.26'!A63</f>
        <v>R38</v>
      </c>
      <c r="B51" s="16">
        <f>'Run File 05.20.26'!B63</f>
        <v>0.91355833333333325</v>
      </c>
      <c r="C51" s="16">
        <f>'Run File 05.20.26'!C63</f>
        <v>0.14607916666666668</v>
      </c>
      <c r="E51" s="11" t="str">
        <f t="shared" si="0"/>
        <v>R38</v>
      </c>
      <c r="F51" s="12">
        <f t="shared" si="1"/>
        <v>76.062039126223553</v>
      </c>
      <c r="G51" s="12">
        <f t="shared" si="2"/>
        <v>10.429235056556267</v>
      </c>
    </row>
    <row r="52" spans="1:7" x14ac:dyDescent="0.2">
      <c r="A52" s="6" t="str">
        <f>'Run File 05.20.26'!A64</f>
        <v>R39</v>
      </c>
      <c r="B52" s="16">
        <f>'Run File 05.20.26'!B64</f>
        <v>0.97465833333333318</v>
      </c>
      <c r="C52" s="16">
        <f>'Run File 05.20.26'!C64</f>
        <v>0.15137916666666668</v>
      </c>
      <c r="E52" s="11" t="str">
        <f t="shared" si="0"/>
        <v>R39</v>
      </c>
      <c r="F52" s="12">
        <f t="shared" si="1"/>
        <v>81.149169768067907</v>
      </c>
      <c r="G52" s="12">
        <f t="shared" si="2"/>
        <v>10.80762539832128</v>
      </c>
    </row>
    <row r="53" spans="1:7" x14ac:dyDescent="0.2">
      <c r="A53" s="6" t="str">
        <f>'Run File 05.20.26'!A65</f>
        <v>R40</v>
      </c>
      <c r="B53" s="16">
        <f>'Run File 05.20.26'!B65</f>
        <v>1.3626583333333333</v>
      </c>
      <c r="C53" s="16">
        <f>'Run File 05.20.26'!C65</f>
        <v>0.17977916666666668</v>
      </c>
      <c r="E53" s="11" t="str">
        <f t="shared" si="0"/>
        <v>R40</v>
      </c>
      <c r="F53" s="12">
        <f t="shared" si="1"/>
        <v>113.45369823018919</v>
      </c>
      <c r="G53" s="12">
        <f t="shared" si="2"/>
        <v>12.835226474948895</v>
      </c>
    </row>
    <row r="54" spans="1:7" x14ac:dyDescent="0.2">
      <c r="A54" s="6" t="str">
        <f>'Run File 05.20.26'!A69</f>
        <v>R41</v>
      </c>
      <c r="B54" s="16">
        <f>'Run File 05.20.26'!B69</f>
        <v>1.0866583333333333</v>
      </c>
      <c r="C54" s="16">
        <f>'Run File 05.20.26'!C69</f>
        <v>0.14927916666666668</v>
      </c>
      <c r="E54" s="11" t="str">
        <f t="shared" si="0"/>
        <v>R41</v>
      </c>
      <c r="F54" s="12">
        <f t="shared" si="1"/>
        <v>90.474188293216329</v>
      </c>
      <c r="G54" s="12">
        <f t="shared" si="2"/>
        <v>10.657697149697407</v>
      </c>
    </row>
    <row r="55" spans="1:7" x14ac:dyDescent="0.2">
      <c r="A55" s="6" t="str">
        <f>'Run File 05.20.26'!A70</f>
        <v>R42</v>
      </c>
      <c r="B55" s="16">
        <f>'Run File 05.20.26'!B70</f>
        <v>0.96965833333333329</v>
      </c>
      <c r="C55" s="16">
        <f>'Run File 05.20.26'!C70</f>
        <v>0.15657916666666669</v>
      </c>
      <c r="E55" s="11" t="str">
        <f t="shared" si="0"/>
        <v>R42</v>
      </c>
      <c r="F55" s="12">
        <f t="shared" si="1"/>
        <v>80.732874298195213</v>
      </c>
      <c r="G55" s="12">
        <f t="shared" si="2"/>
        <v>11.178876299675633</v>
      </c>
    </row>
    <row r="56" spans="1:7" x14ac:dyDescent="0.2">
      <c r="A56" s="6" t="str">
        <f>'Run File 05.20.26'!A71</f>
        <v>R43</v>
      </c>
      <c r="B56" s="16">
        <f>'Run File 05.20.26'!B71</f>
        <v>1.5916583333333332</v>
      </c>
      <c r="C56" s="16">
        <f>'Run File 05.20.26'!C71</f>
        <v>0.19517916666666668</v>
      </c>
      <c r="E56" s="11" t="str">
        <f t="shared" si="0"/>
        <v>R43</v>
      </c>
      <c r="F56" s="12">
        <f t="shared" si="1"/>
        <v>132.5200307503587</v>
      </c>
      <c r="G56" s="12">
        <f t="shared" si="2"/>
        <v>13.934700298190627</v>
      </c>
    </row>
    <row r="57" spans="1:7" x14ac:dyDescent="0.2">
      <c r="A57" s="6" t="str">
        <f>'Run File 05.20.26'!A72</f>
        <v>R44</v>
      </c>
      <c r="B57" s="16">
        <f>'Run File 05.20.26'!B72</f>
        <v>1.8586583333333333</v>
      </c>
      <c r="C57" s="16">
        <f>'Run File 05.20.26'!C72</f>
        <v>0.20757916666666668</v>
      </c>
      <c r="E57" s="11" t="str">
        <f t="shared" si="0"/>
        <v>R44</v>
      </c>
      <c r="F57" s="12">
        <f t="shared" si="1"/>
        <v>154.75020884156072</v>
      </c>
      <c r="G57" s="12">
        <f t="shared" si="2"/>
        <v>14.819990909112544</v>
      </c>
    </row>
    <row r="58" spans="1:7" x14ac:dyDescent="0.2">
      <c r="A58" s="6" t="str">
        <f>'Run File 05.20.26'!A73</f>
        <v>R45</v>
      </c>
      <c r="B58" s="16">
        <f>'Run File 05.20.26'!B73</f>
        <v>3.0856583333333334</v>
      </c>
      <c r="C58" s="16">
        <f>'Run File 05.20.26'!C73</f>
        <v>0.32617916666666669</v>
      </c>
      <c r="E58" s="11" t="str">
        <f t="shared" si="0"/>
        <v>R45</v>
      </c>
      <c r="F58" s="12">
        <f t="shared" si="1"/>
        <v>256.90911714832055</v>
      </c>
      <c r="G58" s="12">
        <f t="shared" si="2"/>
        <v>23.287367236156033</v>
      </c>
    </row>
    <row r="59" spans="1:7" x14ac:dyDescent="0.2">
      <c r="A59" s="6" t="str">
        <f>'Run File 05.20.26'!A74</f>
        <v>R46</v>
      </c>
      <c r="B59" s="16">
        <f>'Run File 05.20.26'!B74</f>
        <v>1.8186583333333333</v>
      </c>
      <c r="C59" s="16">
        <f>'Run File 05.20.26'!C74</f>
        <v>0.21867916666666667</v>
      </c>
      <c r="E59" s="11" t="str">
        <f t="shared" si="0"/>
        <v>R46</v>
      </c>
      <c r="F59" s="12">
        <f t="shared" si="1"/>
        <v>151.41984508257914</v>
      </c>
      <c r="G59" s="12">
        <f t="shared" si="2"/>
        <v>15.612468794695873</v>
      </c>
    </row>
    <row r="60" spans="1:7" x14ac:dyDescent="0.2">
      <c r="A60" s="6" t="str">
        <f>'Run File 05.20.26'!A75</f>
        <v>R47</v>
      </c>
      <c r="B60" s="16">
        <f>'Run File 05.20.26'!B75</f>
        <v>1.8466583333333333</v>
      </c>
      <c r="C60" s="16">
        <f>'Run File 05.20.26'!C75</f>
        <v>0.25797916666666665</v>
      </c>
      <c r="E60" s="11" t="str">
        <f t="shared" si="0"/>
        <v>R47</v>
      </c>
      <c r="F60" s="12">
        <f t="shared" si="1"/>
        <v>153.75109971386624</v>
      </c>
      <c r="G60" s="12">
        <f t="shared" si="2"/>
        <v>18.418268876085492</v>
      </c>
    </row>
    <row r="61" spans="1:7" x14ac:dyDescent="0.2">
      <c r="A61" s="6" t="str">
        <f>'Run File 05.20.26'!A76</f>
        <v>R48</v>
      </c>
      <c r="B61" s="16">
        <f>'Run File 05.20.26'!B76</f>
        <v>4.9376583333333333</v>
      </c>
      <c r="C61" s="16">
        <f>'Run File 05.20.26'!C76</f>
        <v>0.52317916666666675</v>
      </c>
      <c r="E61" s="11" t="str">
        <f t="shared" si="0"/>
        <v>R48</v>
      </c>
      <c r="F61" s="12">
        <f t="shared" si="1"/>
        <v>411.10495918916746</v>
      </c>
      <c r="G61" s="12">
        <f t="shared" si="2"/>
        <v>37.352064845157443</v>
      </c>
    </row>
    <row r="62" spans="1:7" x14ac:dyDescent="0.2">
      <c r="A62" s="6" t="str">
        <f>'Run File 05.20.26'!A77</f>
        <v>R49</v>
      </c>
      <c r="B62" s="16">
        <f>'Run File 05.20.26'!B77</f>
        <v>2.0596583333333336</v>
      </c>
      <c r="C62" s="16">
        <f>'Run File 05.20.26'!C77</f>
        <v>0.26997916666666666</v>
      </c>
      <c r="E62" s="11" t="str">
        <f t="shared" si="0"/>
        <v>R49</v>
      </c>
      <c r="F62" s="12">
        <f t="shared" si="1"/>
        <v>171.48528673044316</v>
      </c>
      <c r="G62" s="12">
        <f t="shared" si="2"/>
        <v>19.275001725364763</v>
      </c>
    </row>
    <row r="63" spans="1:7" x14ac:dyDescent="0.2">
      <c r="A63" s="6" t="str">
        <f>'Run File 05.20.26'!A78</f>
        <v>R50</v>
      </c>
      <c r="B63" s="16">
        <f>'Run File 05.26.26'!B21</f>
        <v>6.2786583333333335</v>
      </c>
      <c r="C63" s="16">
        <f>'Run File 05.20.26'!C78</f>
        <v>0.65767916666666659</v>
      </c>
      <c r="E63" s="11" t="str">
        <f t="shared" si="0"/>
        <v>R50</v>
      </c>
      <c r="F63" s="12">
        <f t="shared" si="1"/>
        <v>522.75540420902473</v>
      </c>
      <c r="G63" s="12">
        <f t="shared" si="2"/>
        <v>46.954612197495955</v>
      </c>
    </row>
    <row r="64" spans="1:7" x14ac:dyDescent="0.2">
      <c r="A64" s="6" t="str">
        <f>'Run File 05.26.26'!A22</f>
        <v>R51</v>
      </c>
      <c r="B64" s="16">
        <f>'Run File 05.26.26'!B22</f>
        <v>0.99139166666666667</v>
      </c>
      <c r="C64" s="16">
        <f>'Run File 05.26.26'!C22</f>
        <v>0.18330833333333338</v>
      </c>
      <c r="E64" s="11" t="str">
        <f t="shared" si="0"/>
        <v>R51</v>
      </c>
      <c r="F64" s="12">
        <f t="shared" si="1"/>
        <v>82.542371940575208</v>
      </c>
      <c r="G64" s="12">
        <f t="shared" si="2"/>
        <v>13.08718922610846</v>
      </c>
    </row>
    <row r="65" spans="1:7" x14ac:dyDescent="0.2">
      <c r="A65" s="6" t="str">
        <f>'Run File 05.26.26'!A23</f>
        <v>R52</v>
      </c>
      <c r="B65" s="16">
        <f>'Run File 05.26.26'!B23</f>
        <v>1.1313916666666666</v>
      </c>
      <c r="C65" s="16">
        <f>'Run File 05.26.26'!C23</f>
        <v>0.19070833333333337</v>
      </c>
      <c r="E65" s="11" t="str">
        <f t="shared" si="0"/>
        <v>R52</v>
      </c>
      <c r="F65" s="12">
        <f t="shared" si="1"/>
        <v>94.198645097010711</v>
      </c>
      <c r="G65" s="12">
        <f t="shared" si="2"/>
        <v>13.615507816497344</v>
      </c>
    </row>
    <row r="66" spans="1:7" x14ac:dyDescent="0.2">
      <c r="A66" s="6" t="str">
        <f>'Run File 05.26.26'!A24</f>
        <v>R53</v>
      </c>
      <c r="B66" s="16">
        <f>'Run File 05.26.26'!B24</f>
        <v>1.0183916666666666</v>
      </c>
      <c r="C66" s="16">
        <f>'Run File 05.26.26'!C24</f>
        <v>0.16360833333333336</v>
      </c>
      <c r="E66" s="11" t="str">
        <f t="shared" si="0"/>
        <v>R53</v>
      </c>
      <c r="F66" s="12">
        <f t="shared" si="1"/>
        <v>84.790367477887756</v>
      </c>
      <c r="G66" s="12">
        <f t="shared" si="2"/>
        <v>11.68071946520832</v>
      </c>
    </row>
    <row r="67" spans="1:7" x14ac:dyDescent="0.2">
      <c r="A67" s="6" t="str">
        <f>'Run File 05.26.26'!A25</f>
        <v>R54</v>
      </c>
      <c r="B67" s="16">
        <f>'Run File 05.26.26'!B25</f>
        <v>4.5733916666666667</v>
      </c>
      <c r="C67" s="16">
        <f>'Run File 05.26.26'!C25</f>
        <v>0.21310833333333337</v>
      </c>
      <c r="E67" s="11" t="str">
        <f t="shared" si="0"/>
        <v>R54</v>
      </c>
      <c r="F67" s="12">
        <f t="shared" si="1"/>
        <v>380.77644655737527</v>
      </c>
      <c r="G67" s="12">
        <f t="shared" si="2"/>
        <v>15.214742468485323</v>
      </c>
    </row>
    <row r="68" spans="1:7" x14ac:dyDescent="0.2">
      <c r="A68" s="6" t="str">
        <f>'Run File 05.26.26'!A26</f>
        <v>R55</v>
      </c>
      <c r="B68" s="16">
        <f>'Run File 05.26.26'!B26</f>
        <v>1.5113916666666667</v>
      </c>
      <c r="C68" s="16">
        <f>'Run File 05.26.26'!C26</f>
        <v>0.22390833333333338</v>
      </c>
      <c r="E68" s="11" t="str">
        <f t="shared" si="0"/>
        <v>R55</v>
      </c>
      <c r="F68" s="12">
        <f t="shared" si="1"/>
        <v>125.83710080733567</v>
      </c>
      <c r="G68" s="12">
        <f t="shared" si="2"/>
        <v>15.985802032836668</v>
      </c>
    </row>
    <row r="69" spans="1:7" x14ac:dyDescent="0.2">
      <c r="A69" s="6" t="str">
        <f>'Run File 05.26.26'!A30</f>
        <v>R56</v>
      </c>
      <c r="B69" s="16">
        <f>'Run File 05.26.26'!B30</f>
        <v>1.5953916666666665</v>
      </c>
      <c r="C69" s="16">
        <f>'Run File 05.26.26'!C30</f>
        <v>0.23780833333333337</v>
      </c>
      <c r="E69" s="11" t="str">
        <f t="shared" si="0"/>
        <v>R56</v>
      </c>
      <c r="F69" s="12">
        <f t="shared" si="1"/>
        <v>132.83086470119699</v>
      </c>
      <c r="G69" s="12">
        <f t="shared" si="2"/>
        <v>16.978184249918492</v>
      </c>
    </row>
    <row r="70" spans="1:7" x14ac:dyDescent="0.2">
      <c r="A70" s="6" t="str">
        <f>'Run File 05.26.26'!A31</f>
        <v>R57</v>
      </c>
      <c r="B70" s="16">
        <f>'Run File 05.26.26'!B31</f>
        <v>1.6713916666666666</v>
      </c>
      <c r="C70" s="16">
        <f>'Run File 05.26.26'!C31</f>
        <v>0.25880833333333336</v>
      </c>
      <c r="E70" s="11" t="str">
        <f t="shared" si="0"/>
        <v>R57</v>
      </c>
      <c r="F70" s="12">
        <f t="shared" si="1"/>
        <v>139.15855584326198</v>
      </c>
      <c r="G70" s="12">
        <f t="shared" si="2"/>
        <v>18.477466736157218</v>
      </c>
    </row>
    <row r="71" spans="1:7" x14ac:dyDescent="0.2">
      <c r="A71" s="6" t="str">
        <f>'Run File 05.26.26'!A32</f>
        <v>R58</v>
      </c>
      <c r="B71" s="16">
        <f>'Run File 05.26.26'!B32</f>
        <v>1.6113916666666666</v>
      </c>
      <c r="C71" s="16">
        <f>'Run File 05.26.26'!C32</f>
        <v>0.24380833333333338</v>
      </c>
      <c r="E71" s="11" t="str">
        <f t="shared" si="0"/>
        <v>R58</v>
      </c>
      <c r="F71" s="12">
        <f t="shared" si="1"/>
        <v>134.1630102047896</v>
      </c>
      <c r="G71" s="12">
        <f t="shared" si="2"/>
        <v>17.406550674558133</v>
      </c>
    </row>
    <row r="72" spans="1:7" x14ac:dyDescent="0.2">
      <c r="A72" s="6" t="str">
        <f>'Run File 05.26.26'!A33</f>
        <v>R59</v>
      </c>
      <c r="B72" s="16">
        <f>'Run File 05.26.26'!B33</f>
        <v>2.1893916666666664</v>
      </c>
      <c r="C72" s="16">
        <f>'Run File 05.26.26'!C33</f>
        <v>0.32680833333333337</v>
      </c>
      <c r="E72" s="11" t="str">
        <f t="shared" si="0"/>
        <v>R59</v>
      </c>
      <c r="F72" s="12">
        <f t="shared" si="1"/>
        <v>182.28676652207335</v>
      </c>
      <c r="G72" s="12">
        <f t="shared" si="2"/>
        <v>23.332286215406441</v>
      </c>
    </row>
    <row r="73" spans="1:7" x14ac:dyDescent="0.2">
      <c r="A73" s="6" t="str">
        <f>'Run File 05.26.26'!A34</f>
        <v>R60</v>
      </c>
      <c r="B73" s="16">
        <f>'Run File 05.26.26'!B34</f>
        <v>3.6233916666666666</v>
      </c>
      <c r="C73" s="16">
        <f>'Run File 05.26.26'!C34</f>
        <v>0.51140833333333335</v>
      </c>
      <c r="E73" s="11" t="str">
        <f t="shared" si="0"/>
        <v>R60</v>
      </c>
      <c r="F73" s="12">
        <f t="shared" si="1"/>
        <v>301.68030728156282</v>
      </c>
      <c r="G73" s="12">
        <f t="shared" si="2"/>
        <v>36.511693213485927</v>
      </c>
    </row>
    <row r="74" spans="1:7" x14ac:dyDescent="0.2">
      <c r="A74" s="6" t="str">
        <f>'Run File 05.26.26'!A35</f>
        <v>R61</v>
      </c>
      <c r="B74" s="16">
        <f>'Run File 05.26.26'!B35</f>
        <v>4.2673916666666667</v>
      </c>
      <c r="C74" s="16">
        <f>'Run File 05.26.26'!C35</f>
        <v>0.59390833333333337</v>
      </c>
      <c r="E74" s="11" t="str">
        <f t="shared" si="0"/>
        <v>R61</v>
      </c>
      <c r="F74" s="12">
        <f t="shared" si="1"/>
        <v>355.29916380116617</v>
      </c>
      <c r="G74" s="12">
        <f t="shared" si="2"/>
        <v>42.401731552280935</v>
      </c>
    </row>
    <row r="75" spans="1:7" x14ac:dyDescent="0.2">
      <c r="A75" s="6" t="str">
        <f>'Run File 05.26.26'!A36</f>
        <v>R62</v>
      </c>
      <c r="B75" s="16">
        <f>'Run File 05.26.26'!B36</f>
        <v>0.92389166666666667</v>
      </c>
      <c r="C75" s="16">
        <f>'Run File 05.26.26'!C36</f>
        <v>0.24170833333333336</v>
      </c>
      <c r="E75" s="11" t="str">
        <f t="shared" si="0"/>
        <v>R62</v>
      </c>
      <c r="F75" s="12">
        <f t="shared" si="1"/>
        <v>76.922383097293803</v>
      </c>
      <c r="G75" s="12">
        <f t="shared" si="2"/>
        <v>17.256622425934257</v>
      </c>
    </row>
    <row r="76" spans="1:7" x14ac:dyDescent="0.2">
      <c r="A76" s="6" t="str">
        <f>'Run File 05.26.26'!A37</f>
        <v>R63</v>
      </c>
      <c r="B76" s="16">
        <f>'Run File 05.26.26'!B37</f>
        <v>0.91119166666666662</v>
      </c>
      <c r="C76" s="16">
        <f>'Run File 05.26.26'!C37</f>
        <v>0.23680833333333337</v>
      </c>
      <c r="E76" s="11" t="str">
        <f t="shared" ref="E76:E79" si="3">A76</f>
        <v>R63</v>
      </c>
      <c r="F76" s="12">
        <f t="shared" ref="F76:F79" si="4">B76/12.0107*1000</f>
        <v>75.864992603817157</v>
      </c>
      <c r="G76" s="12">
        <f t="shared" ref="G76:G79" si="5">C76/14.0067*1000</f>
        <v>16.906789845811886</v>
      </c>
    </row>
    <row r="77" spans="1:7" x14ac:dyDescent="0.2">
      <c r="A77" s="6" t="str">
        <f>'Run File 05.26.26'!A38</f>
        <v>R64</v>
      </c>
      <c r="B77" s="16">
        <f>'Run File 05.26.26'!B38</f>
        <v>0.90629166666666661</v>
      </c>
      <c r="C77" s="16">
        <f>'Run File 05.26.26'!C38</f>
        <v>0.25030833333333335</v>
      </c>
      <c r="E77" s="11" t="str">
        <f t="shared" si="3"/>
        <v>R64</v>
      </c>
      <c r="F77" s="12">
        <f t="shared" si="4"/>
        <v>75.457023043341891</v>
      </c>
      <c r="G77" s="12">
        <f t="shared" si="5"/>
        <v>17.87061430125107</v>
      </c>
    </row>
    <row r="78" spans="1:7" x14ac:dyDescent="0.2">
      <c r="A78" s="6" t="str">
        <f>'Run File 05.26.26'!A39</f>
        <v>R65</v>
      </c>
      <c r="B78" s="16">
        <f>'Run File 05.26.26'!B39</f>
        <v>0.95739166666666664</v>
      </c>
      <c r="C78" s="16">
        <f>'Run File 05.26.26'!C39</f>
        <v>0.29000833333333337</v>
      </c>
      <c r="E78" s="11" t="str">
        <f t="shared" si="3"/>
        <v>R65</v>
      </c>
      <c r="F78" s="12">
        <f t="shared" si="4"/>
        <v>79.711562745440872</v>
      </c>
      <c r="G78" s="12">
        <f t="shared" si="5"/>
        <v>20.704972144283335</v>
      </c>
    </row>
    <row r="79" spans="1:7" x14ac:dyDescent="0.2">
      <c r="A79" s="6" t="str">
        <f>'Run File 05.26.26'!A43</f>
        <v>R66</v>
      </c>
      <c r="B79" s="16">
        <f>'Run File 05.26.26'!B43</f>
        <v>0.86879166666666663</v>
      </c>
      <c r="C79" s="16">
        <f>'Run File 05.26.26'!C43</f>
        <v>0.29890833333333339</v>
      </c>
      <c r="E79" s="11" t="str">
        <f t="shared" si="3"/>
        <v>R66</v>
      </c>
      <c r="F79" s="12">
        <f t="shared" si="4"/>
        <v>72.334807019296676</v>
      </c>
      <c r="G79" s="12">
        <f t="shared" si="5"/>
        <v>21.340382340832129</v>
      </c>
    </row>
    <row r="80" spans="1:7" x14ac:dyDescent="0.2">
      <c r="A80" s="6" t="str">
        <f>'Run File 05.26.26'!A44</f>
        <v>R67</v>
      </c>
      <c r="B80" s="16">
        <f>'Run File 05.26.26'!B44</f>
        <v>0.92229166666666662</v>
      </c>
      <c r="C80" s="16">
        <f>'Run File 05.26.26'!C44</f>
        <v>0.32660833333333339</v>
      </c>
      <c r="E80" s="11" t="str">
        <f t="shared" ref="E80:E85" si="6">A80</f>
        <v>R67</v>
      </c>
      <c r="F80" s="12">
        <f t="shared" ref="F80:F85" si="7">B80/12.0107*1000</f>
        <v>76.789168546934533</v>
      </c>
      <c r="G80" s="12">
        <f t="shared" ref="G80:G85" si="8">C80/14.0067*1000</f>
        <v>23.318007334585118</v>
      </c>
    </row>
    <row r="81" spans="1:7" x14ac:dyDescent="0.2">
      <c r="A81" s="6" t="str">
        <f>'Run File 05.26.26'!A45</f>
        <v>R68</v>
      </c>
      <c r="B81" s="16">
        <f>'Run File 05.26.26'!B45</f>
        <v>0.91739166666666661</v>
      </c>
      <c r="C81" s="16">
        <f>'Run File 05.26.26'!C45</f>
        <v>0.33470833333333339</v>
      </c>
      <c r="E81" s="11" t="str">
        <f t="shared" si="6"/>
        <v>R68</v>
      </c>
      <c r="F81" s="12">
        <f t="shared" si="7"/>
        <v>76.381198986459282</v>
      </c>
      <c r="G81" s="12">
        <f t="shared" si="8"/>
        <v>23.896302007848629</v>
      </c>
    </row>
    <row r="82" spans="1:7" x14ac:dyDescent="0.2">
      <c r="A82" s="6" t="str">
        <f>'Run File 05.26.26'!A46</f>
        <v>R69</v>
      </c>
      <c r="B82" s="16">
        <f>'Run File 05.26.26'!B46</f>
        <v>0.98539166666666667</v>
      </c>
      <c r="C82" s="16">
        <f>'Run File 05.26.26'!C46</f>
        <v>0.33320833333333338</v>
      </c>
      <c r="E82" s="11" t="str">
        <f t="shared" si="6"/>
        <v>R69</v>
      </c>
      <c r="F82" s="12">
        <f t="shared" si="7"/>
        <v>82.042817376727967</v>
      </c>
      <c r="G82" s="12">
        <f t="shared" si="8"/>
        <v>23.78921040168872</v>
      </c>
    </row>
    <row r="83" spans="1:7" x14ac:dyDescent="0.2">
      <c r="A83" s="6" t="str">
        <f>'Run File 05.26.26'!A47</f>
        <v>R70</v>
      </c>
      <c r="B83" s="16">
        <f>'Run File 05.26.26'!B47</f>
        <v>0.94839166666666652</v>
      </c>
      <c r="C83" s="16">
        <f>'Run File 05.26.26'!C47</f>
        <v>0.42810833333333337</v>
      </c>
      <c r="E83" s="11" t="str">
        <f t="shared" si="6"/>
        <v>R70</v>
      </c>
      <c r="F83" s="12">
        <f t="shared" si="7"/>
        <v>78.962230899670004</v>
      </c>
      <c r="G83" s="12">
        <f t="shared" si="8"/>
        <v>30.564539351405639</v>
      </c>
    </row>
    <row r="84" spans="1:7" x14ac:dyDescent="0.2">
      <c r="A84" s="6" t="str">
        <f>'Run File 05.26.26'!A48</f>
        <v>R71</v>
      </c>
      <c r="B84" s="16">
        <f>'Run File 05.26.26'!B48</f>
        <v>0.9042916666666666</v>
      </c>
      <c r="C84" s="16">
        <f>'Run File 05.26.26'!C48</f>
        <v>0.66440833333333338</v>
      </c>
      <c r="E84" s="11" t="str">
        <f t="shared" si="6"/>
        <v>R71</v>
      </c>
      <c r="F84" s="12">
        <f t="shared" si="7"/>
        <v>75.290504855392825</v>
      </c>
      <c r="G84" s="12">
        <f t="shared" si="8"/>
        <v>47.435037041796662</v>
      </c>
    </row>
    <row r="85" spans="1:7" x14ac:dyDescent="0.2">
      <c r="A85" s="6" t="str">
        <f>'Run File 05.26.26'!A49</f>
        <v>R72</v>
      </c>
      <c r="B85" s="16">
        <f>'Run File 05.26.26'!B49</f>
        <v>0.89719166666666661</v>
      </c>
      <c r="C85" s="16">
        <f>'Run File 05.26.26'!C49</f>
        <v>0.92400833333333332</v>
      </c>
      <c r="E85" s="11" t="str">
        <f t="shared" si="6"/>
        <v>R72</v>
      </c>
      <c r="F85" s="12">
        <f t="shared" si="7"/>
        <v>74.699365288173595</v>
      </c>
      <c r="G85" s="12">
        <f t="shared" si="8"/>
        <v>65.96902434787161</v>
      </c>
    </row>
  </sheetData>
  <phoneticPr fontId="6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C6A71-D414-4ACA-A5D0-F58EF2F87B48}">
  <dimension ref="A1:G81"/>
  <sheetViews>
    <sheetView zoomScaleNormal="100" workbookViewId="0">
      <selection activeCell="F87" sqref="F87"/>
    </sheetView>
  </sheetViews>
  <sheetFormatPr baseColWidth="10" defaultColWidth="8.83203125" defaultRowHeight="15" x14ac:dyDescent="0.2"/>
  <cols>
    <col min="1" max="1" width="47.33203125" bestFit="1" customWidth="1"/>
    <col min="2" max="2" width="23.1640625" bestFit="1" customWidth="1"/>
    <col min="3" max="3" width="14.5" customWidth="1"/>
    <col min="5" max="5" width="42.1640625" bestFit="1" customWidth="1"/>
    <col min="6" max="6" width="15.5" customWidth="1"/>
    <col min="7" max="7" width="14" customWidth="1"/>
  </cols>
  <sheetData>
    <row r="1" spans="1:7" x14ac:dyDescent="0.2">
      <c r="A1" s="1" t="s">
        <v>0</v>
      </c>
      <c r="B1" s="2" t="s">
        <v>1</v>
      </c>
      <c r="D1" s="26" t="s">
        <v>2</v>
      </c>
      <c r="E1" s="27"/>
      <c r="F1" s="27"/>
      <c r="G1" s="28"/>
    </row>
    <row r="2" spans="1:7" ht="16" thickBot="1" x14ac:dyDescent="0.25">
      <c r="A2" s="1" t="s">
        <v>3</v>
      </c>
      <c r="B2" s="2">
        <v>1</v>
      </c>
      <c r="D2" s="29"/>
      <c r="E2" s="30"/>
      <c r="F2" s="30"/>
      <c r="G2" s="31"/>
    </row>
    <row r="3" spans="1:7" x14ac:dyDescent="0.2">
      <c r="A3" s="1" t="s">
        <v>4</v>
      </c>
      <c r="B3" s="14" t="s">
        <v>17</v>
      </c>
      <c r="D3" s="32" t="s">
        <v>29</v>
      </c>
      <c r="E3" s="33"/>
      <c r="F3" s="33"/>
      <c r="G3" s="34"/>
    </row>
    <row r="4" spans="1:7" ht="16" thickBot="1" x14ac:dyDescent="0.25">
      <c r="A4" s="1" t="s">
        <v>5</v>
      </c>
      <c r="B4" s="17">
        <v>46162</v>
      </c>
      <c r="C4" s="3"/>
      <c r="D4" s="35" t="s">
        <v>30</v>
      </c>
      <c r="E4" s="36"/>
      <c r="F4" s="36"/>
      <c r="G4" s="37"/>
    </row>
    <row r="5" spans="1:7" x14ac:dyDescent="0.2">
      <c r="A5" s="1" t="s">
        <v>6</v>
      </c>
      <c r="B5" s="18" t="s">
        <v>33</v>
      </c>
    </row>
    <row r="7" spans="1:7" ht="15" customHeight="1" x14ac:dyDescent="0.2"/>
    <row r="9" spans="1:7" x14ac:dyDescent="0.2">
      <c r="A9" s="4" t="s">
        <v>7</v>
      </c>
    </row>
    <row r="10" spans="1:7" x14ac:dyDescent="0.2">
      <c r="A10" s="5" t="s">
        <v>8</v>
      </c>
      <c r="B10" s="6" t="s">
        <v>9</v>
      </c>
    </row>
    <row r="11" spans="1:7" x14ac:dyDescent="0.2">
      <c r="A11" s="7"/>
      <c r="B11" s="10"/>
    </row>
    <row r="12" spans="1:7" x14ac:dyDescent="0.2">
      <c r="A12" t="s">
        <v>10</v>
      </c>
      <c r="E12" t="s">
        <v>11</v>
      </c>
    </row>
    <row r="13" spans="1:7" x14ac:dyDescent="0.2">
      <c r="A13" s="1" t="s">
        <v>12</v>
      </c>
      <c r="B13" s="1" t="s">
        <v>13</v>
      </c>
      <c r="C13" s="1" t="s">
        <v>14</v>
      </c>
      <c r="E13" s="1" t="s">
        <v>12</v>
      </c>
      <c r="F13" s="1" t="s">
        <v>15</v>
      </c>
      <c r="G13" s="1" t="s">
        <v>16</v>
      </c>
    </row>
    <row r="14" spans="1:7" x14ac:dyDescent="0.2">
      <c r="A14" s="19" t="s">
        <v>28</v>
      </c>
      <c r="B14" s="20">
        <v>-2.3E-3</v>
      </c>
      <c r="C14" s="20">
        <v>0</v>
      </c>
      <c r="E14" s="19" t="str">
        <f>A14</f>
        <v>DIW</v>
      </c>
      <c r="F14" s="21">
        <f>B14/12.0107*1000</f>
        <v>-0.19149591614144054</v>
      </c>
      <c r="G14" s="21">
        <f>C14/14.0067*1000</f>
        <v>0</v>
      </c>
    </row>
    <row r="15" spans="1:7" x14ac:dyDescent="0.2">
      <c r="A15" s="19" t="s">
        <v>27</v>
      </c>
      <c r="B15" s="20">
        <v>0.93830000000000002</v>
      </c>
      <c r="C15" s="20">
        <v>5.4019999999999999E-2</v>
      </c>
      <c r="E15" s="19" t="str">
        <f>A15</f>
        <v>LNSW</v>
      </c>
      <c r="F15" s="21">
        <f>B15/12.0107*1000</f>
        <v>78.122007876310292</v>
      </c>
      <c r="G15" s="21">
        <f>C15/14.0067*1000</f>
        <v>3.8567257098388628</v>
      </c>
    </row>
    <row r="16" spans="1:7" x14ac:dyDescent="0.2">
      <c r="A16" s="19" t="s">
        <v>31</v>
      </c>
      <c r="B16" s="20">
        <v>0.51515833333333305</v>
      </c>
      <c r="C16" s="20">
        <v>0.44307916666666702</v>
      </c>
      <c r="E16" s="19" t="str">
        <f>A16</f>
        <v>DSWR [B24,L05-24]</v>
      </c>
      <c r="F16" s="21">
        <f>B16/12.0107*1000</f>
        <v>42.891616086767051</v>
      </c>
      <c r="G16" s="21">
        <f>C16/14.0067*1000</f>
        <v>31.633373076218309</v>
      </c>
    </row>
    <row r="17" spans="1:7" x14ac:dyDescent="0.2">
      <c r="A17" s="6" t="s">
        <v>37</v>
      </c>
      <c r="B17" s="16">
        <v>0.99765833333333331</v>
      </c>
      <c r="C17" s="16">
        <v>0.14147916666666668</v>
      </c>
      <c r="D17" s="15"/>
      <c r="E17" s="6" t="str">
        <f t="shared" ref="E17:E18" si="0">A17</f>
        <v>R1</v>
      </c>
      <c r="F17" s="12">
        <f t="shared" ref="F17:F18" si="1">B17/12.0107*1000</f>
        <v>83.064128929482322</v>
      </c>
      <c r="G17" s="12">
        <f t="shared" ref="G17:G18" si="2">C17/14.0067*1000</f>
        <v>10.100820797665879</v>
      </c>
    </row>
    <row r="18" spans="1:7" x14ac:dyDescent="0.2">
      <c r="A18" s="6" t="s">
        <v>38</v>
      </c>
      <c r="B18" s="16">
        <v>0.94995833333333324</v>
      </c>
      <c r="C18" s="16">
        <v>0.14047916666666668</v>
      </c>
      <c r="D18" s="15"/>
      <c r="E18" s="6" t="str">
        <f t="shared" si="0"/>
        <v>R2</v>
      </c>
      <c r="F18" s="12">
        <f t="shared" si="1"/>
        <v>79.092670146896793</v>
      </c>
      <c r="G18" s="12">
        <f t="shared" si="2"/>
        <v>10.029426393559273</v>
      </c>
    </row>
    <row r="19" spans="1:7" x14ac:dyDescent="0.2">
      <c r="A19" s="6" t="s">
        <v>39</v>
      </c>
      <c r="B19" s="16">
        <v>0.92745833333333327</v>
      </c>
      <c r="C19" s="16">
        <v>0.15187916666666668</v>
      </c>
      <c r="D19" s="15"/>
      <c r="E19" s="6" t="str">
        <f>A19</f>
        <v>R3</v>
      </c>
      <c r="F19" s="12">
        <f>B19/12.0107*1000</f>
        <v>77.219340532469644</v>
      </c>
      <c r="G19" s="12">
        <f>C19/14.0067*1000</f>
        <v>10.843322600374583</v>
      </c>
    </row>
    <row r="20" spans="1:7" x14ac:dyDescent="0.2">
      <c r="A20" s="6" t="s">
        <v>40</v>
      </c>
      <c r="B20" s="16">
        <v>0.96965833333333329</v>
      </c>
      <c r="C20" s="16">
        <v>0.17517916666666669</v>
      </c>
      <c r="D20" s="15"/>
      <c r="E20" s="6" t="str">
        <f t="shared" ref="E20:E39" si="3">A20</f>
        <v>R4</v>
      </c>
      <c r="F20" s="12">
        <f t="shared" ref="F20:F66" si="4">B20/12.0107*1000</f>
        <v>80.732874298195213</v>
      </c>
      <c r="G20" s="12">
        <f t="shared" ref="G20:G66" si="5">C20/14.0067*1000</f>
        <v>12.506812216058506</v>
      </c>
    </row>
    <row r="21" spans="1:7" x14ac:dyDescent="0.2">
      <c r="A21" s="6" t="s">
        <v>41</v>
      </c>
      <c r="B21" s="16">
        <v>3.9736583333333333</v>
      </c>
      <c r="C21" s="16">
        <v>0.19997916666666668</v>
      </c>
      <c r="D21" s="15"/>
      <c r="E21" s="6" t="str">
        <f t="shared" ref="E21:E23" si="6">A21</f>
        <v>R5</v>
      </c>
      <c r="F21" s="12">
        <f t="shared" ref="F21:F23" si="7">B21/12.0107*1000</f>
        <v>330.84319259771149</v>
      </c>
      <c r="G21" s="12">
        <f t="shared" ref="G21:G23" si="8">C21/14.0067*1000</f>
        <v>14.277393437902337</v>
      </c>
    </row>
    <row r="22" spans="1:7" x14ac:dyDescent="0.2">
      <c r="A22" s="6" t="s">
        <v>42</v>
      </c>
      <c r="B22" s="16">
        <v>1.2786583333333332</v>
      </c>
      <c r="C22" s="16">
        <v>0.18407916666666668</v>
      </c>
      <c r="D22" s="15"/>
      <c r="E22" s="6" t="str">
        <f t="shared" si="6"/>
        <v>R6</v>
      </c>
      <c r="F22" s="12">
        <f t="shared" si="7"/>
        <v>106.45993433632788</v>
      </c>
      <c r="G22" s="12">
        <f t="shared" si="8"/>
        <v>13.142222412607302</v>
      </c>
    </row>
    <row r="23" spans="1:7" x14ac:dyDescent="0.2">
      <c r="A23" s="6" t="s">
        <v>43</v>
      </c>
      <c r="B23" s="16">
        <v>1.7436583333333333</v>
      </c>
      <c r="C23" s="16">
        <v>0.19737916666666669</v>
      </c>
      <c r="D23" s="15"/>
      <c r="E23" s="6" t="str">
        <f t="shared" si="6"/>
        <v>R7</v>
      </c>
      <c r="F23" s="12">
        <f t="shared" si="7"/>
        <v>145.17541303448868</v>
      </c>
      <c r="G23" s="12">
        <f t="shared" si="8"/>
        <v>14.091767987225163</v>
      </c>
    </row>
    <row r="24" spans="1:7" x14ac:dyDescent="0.2">
      <c r="A24" s="6" t="s">
        <v>44</v>
      </c>
      <c r="B24" s="16">
        <v>2.5816583333333334</v>
      </c>
      <c r="C24" s="16">
        <v>0.24227916666666668</v>
      </c>
      <c r="D24" s="15"/>
      <c r="E24" s="6" t="str">
        <f t="shared" si="3"/>
        <v>R8</v>
      </c>
      <c r="F24" s="12">
        <f t="shared" si="4"/>
        <v>214.9465337851527</v>
      </c>
      <c r="G24" s="12">
        <f t="shared" si="5"/>
        <v>17.297376731611777</v>
      </c>
    </row>
    <row r="25" spans="1:7" x14ac:dyDescent="0.2">
      <c r="A25" s="6" t="s">
        <v>45</v>
      </c>
      <c r="B25" s="16">
        <v>2.7776583333333336</v>
      </c>
      <c r="C25" s="16">
        <v>0.26807916666666665</v>
      </c>
      <c r="D25" s="15"/>
      <c r="E25" s="6" t="str">
        <f t="shared" si="3"/>
        <v>R9</v>
      </c>
      <c r="F25" s="12">
        <f t="shared" si="4"/>
        <v>231.26531620416242</v>
      </c>
      <c r="G25" s="12">
        <f t="shared" si="5"/>
        <v>19.13935235756221</v>
      </c>
    </row>
    <row r="26" spans="1:7" x14ac:dyDescent="0.2">
      <c r="A26" s="6" t="s">
        <v>46</v>
      </c>
      <c r="B26" s="16">
        <v>2.8346583333333335</v>
      </c>
      <c r="C26" s="16">
        <v>0.30527916666666666</v>
      </c>
      <c r="E26" s="6" t="str">
        <f t="shared" si="3"/>
        <v>R10</v>
      </c>
      <c r="F26" s="12">
        <f t="shared" si="4"/>
        <v>236.01108456071114</v>
      </c>
      <c r="G26" s="12">
        <f t="shared" si="5"/>
        <v>21.795224190327961</v>
      </c>
    </row>
    <row r="27" spans="1:7" x14ac:dyDescent="0.2">
      <c r="A27" s="19" t="s">
        <v>28</v>
      </c>
      <c r="B27" s="20">
        <v>-3.5899999999999999E-3</v>
      </c>
      <c r="C27" s="20">
        <v>0</v>
      </c>
      <c r="E27" s="19" t="str">
        <f t="shared" si="3"/>
        <v>DIW</v>
      </c>
      <c r="F27" s="21">
        <f t="shared" si="4"/>
        <v>-0.29890014736859633</v>
      </c>
      <c r="G27" s="21">
        <f t="shared" si="5"/>
        <v>0</v>
      </c>
    </row>
    <row r="28" spans="1:7" x14ac:dyDescent="0.2">
      <c r="A28" s="19" t="s">
        <v>27</v>
      </c>
      <c r="B28" s="20">
        <v>0.92669999999999997</v>
      </c>
      <c r="C28" s="20">
        <v>5.5550000000000002E-2</v>
      </c>
      <c r="E28" s="19" t="str">
        <f t="shared" si="3"/>
        <v>LNSW</v>
      </c>
      <c r="F28" s="21">
        <f t="shared" si="4"/>
        <v>77.156202386205635</v>
      </c>
      <c r="G28" s="21">
        <f t="shared" si="5"/>
        <v>3.96595914812197</v>
      </c>
    </row>
    <row r="29" spans="1:7" x14ac:dyDescent="0.2">
      <c r="A29" s="19" t="s">
        <v>31</v>
      </c>
      <c r="B29" s="20">
        <v>0.5038583333333333</v>
      </c>
      <c r="C29" s="20">
        <v>0.44357916666666702</v>
      </c>
      <c r="E29" s="19" t="str">
        <f t="shared" si="3"/>
        <v>DSWR [B24,L05-24]</v>
      </c>
      <c r="F29" s="21">
        <f t="shared" si="4"/>
        <v>41.950788324854777</v>
      </c>
      <c r="G29" s="21">
        <f t="shared" si="5"/>
        <v>31.669070278271615</v>
      </c>
    </row>
    <row r="30" spans="1:7" x14ac:dyDescent="0.2">
      <c r="A30" s="6" t="s">
        <v>47</v>
      </c>
      <c r="B30" s="16">
        <v>2.7346583333333334</v>
      </c>
      <c r="C30" s="16">
        <v>0.25697916666666665</v>
      </c>
      <c r="E30" s="6" t="str">
        <f t="shared" si="3"/>
        <v>R11</v>
      </c>
      <c r="F30" s="12">
        <f t="shared" si="4"/>
        <v>227.68517516325721</v>
      </c>
      <c r="G30" s="12">
        <f t="shared" si="5"/>
        <v>18.346874471978886</v>
      </c>
    </row>
    <row r="31" spans="1:7" x14ac:dyDescent="0.2">
      <c r="A31" s="6" t="s">
        <v>48</v>
      </c>
      <c r="B31" s="16">
        <v>4.6406583333333327</v>
      </c>
      <c r="C31" s="16">
        <v>0.39937916666666667</v>
      </c>
      <c r="E31" s="6" t="str">
        <f t="shared" si="3"/>
        <v>R12</v>
      </c>
      <c r="F31" s="12">
        <f t="shared" si="4"/>
        <v>386.37700827872919</v>
      </c>
      <c r="G31" s="12">
        <f t="shared" si="5"/>
        <v>28.513437616759596</v>
      </c>
    </row>
    <row r="32" spans="1:7" x14ac:dyDescent="0.2">
      <c r="A32" s="6" t="s">
        <v>49</v>
      </c>
      <c r="B32" s="16"/>
      <c r="C32" s="16">
        <v>0.71767916666666665</v>
      </c>
      <c r="E32" s="6" t="str">
        <f t="shared" si="3"/>
        <v>R13</v>
      </c>
      <c r="F32" s="12"/>
      <c r="G32" s="12">
        <f t="shared" si="5"/>
        <v>51.238276443892325</v>
      </c>
    </row>
    <row r="33" spans="1:7" x14ac:dyDescent="0.2">
      <c r="A33" s="6" t="s">
        <v>50</v>
      </c>
      <c r="B33" s="16"/>
      <c r="C33" s="16">
        <v>0.85060833333333341</v>
      </c>
      <c r="E33" s="6"/>
      <c r="F33" s="12"/>
      <c r="G33" s="12"/>
    </row>
    <row r="34" spans="1:7" x14ac:dyDescent="0.2">
      <c r="A34" s="6" t="s">
        <v>51</v>
      </c>
      <c r="B34" s="16">
        <v>1.1416583333333332</v>
      </c>
      <c r="C34" s="16">
        <v>0.16937916666666669</v>
      </c>
      <c r="E34" s="6" t="str">
        <f t="shared" si="3"/>
        <v>R15</v>
      </c>
      <c r="F34" s="12">
        <f t="shared" si="4"/>
        <v>95.053438461815972</v>
      </c>
      <c r="G34" s="12">
        <f t="shared" si="5"/>
        <v>12.092724672240191</v>
      </c>
    </row>
    <row r="35" spans="1:7" x14ac:dyDescent="0.2">
      <c r="A35" s="6" t="s">
        <v>52</v>
      </c>
      <c r="B35" s="16">
        <v>1.0636583333333334</v>
      </c>
      <c r="C35" s="16">
        <v>0.15297916666666669</v>
      </c>
      <c r="E35" s="6" t="str">
        <f t="shared" si="3"/>
        <v>R16</v>
      </c>
      <c r="F35" s="12">
        <f t="shared" si="4"/>
        <v>88.559229131801914</v>
      </c>
      <c r="G35" s="12">
        <f t="shared" si="5"/>
        <v>10.921856444891851</v>
      </c>
    </row>
    <row r="36" spans="1:7" x14ac:dyDescent="0.2">
      <c r="A36" s="6" t="s">
        <v>53</v>
      </c>
      <c r="B36" s="16">
        <v>1.0766583333333333</v>
      </c>
      <c r="C36" s="16">
        <v>0.15217916666666667</v>
      </c>
      <c r="D36" s="15"/>
      <c r="E36" s="6" t="str">
        <f t="shared" si="3"/>
        <v>R17</v>
      </c>
      <c r="F36" s="12">
        <f t="shared" si="4"/>
        <v>89.641597353470928</v>
      </c>
      <c r="G36" s="12">
        <f t="shared" si="5"/>
        <v>10.864740921606565</v>
      </c>
    </row>
    <row r="37" spans="1:7" x14ac:dyDescent="0.2">
      <c r="A37" s="6" t="s">
        <v>54</v>
      </c>
      <c r="B37" s="16">
        <v>1.7446583333333332</v>
      </c>
      <c r="C37" s="16">
        <v>0.22957916666666667</v>
      </c>
      <c r="D37" s="15"/>
      <c r="E37" s="6" t="str">
        <f t="shared" si="3"/>
        <v>R18</v>
      </c>
      <c r="F37" s="12">
        <f t="shared" si="4"/>
        <v>145.25867212846322</v>
      </c>
      <c r="G37" s="12">
        <f t="shared" si="5"/>
        <v>16.39066779945788</v>
      </c>
    </row>
    <row r="38" spans="1:7" x14ac:dyDescent="0.2">
      <c r="A38" s="6" t="s">
        <v>55</v>
      </c>
      <c r="B38" s="16">
        <v>2.1446583333333336</v>
      </c>
      <c r="C38" s="16">
        <v>0.25337916666666671</v>
      </c>
      <c r="D38" s="15"/>
      <c r="E38" s="6" t="str">
        <f t="shared" si="3"/>
        <v>R19</v>
      </c>
      <c r="F38" s="12">
        <f t="shared" si="4"/>
        <v>178.56230971827898</v>
      </c>
      <c r="G38" s="12">
        <f t="shared" si="5"/>
        <v>18.089854617195108</v>
      </c>
    </row>
    <row r="39" spans="1:7" x14ac:dyDescent="0.2">
      <c r="A39" s="6" t="s">
        <v>56</v>
      </c>
      <c r="B39" s="16">
        <v>2.4916583333333335</v>
      </c>
      <c r="C39" s="16">
        <v>0.30767916666666667</v>
      </c>
      <c r="E39" s="6" t="str">
        <f t="shared" si="3"/>
        <v>R20</v>
      </c>
      <c r="F39" s="12">
        <f t="shared" si="4"/>
        <v>207.45321532744416</v>
      </c>
      <c r="G39" s="12">
        <f t="shared" si="5"/>
        <v>21.966570760183817</v>
      </c>
    </row>
    <row r="40" spans="1:7" x14ac:dyDescent="0.2">
      <c r="A40" s="19" t="s">
        <v>28</v>
      </c>
      <c r="B40" s="20">
        <v>-4.4999999999999999E-4</v>
      </c>
      <c r="C40" s="20">
        <v>0</v>
      </c>
      <c r="E40" s="19" t="str">
        <f t="shared" ref="E40:E68" si="9">A40</f>
        <v>DIW</v>
      </c>
      <c r="F40" s="21">
        <f t="shared" si="4"/>
        <v>-3.7466592288542717E-2</v>
      </c>
      <c r="G40" s="21">
        <f t="shared" si="5"/>
        <v>0</v>
      </c>
    </row>
    <row r="41" spans="1:7" x14ac:dyDescent="0.2">
      <c r="A41" s="19" t="s">
        <v>27</v>
      </c>
      <c r="B41" s="20">
        <v>0.95179999999999998</v>
      </c>
      <c r="C41" s="20">
        <v>6.0929999999999998E-2</v>
      </c>
      <c r="D41" s="15"/>
      <c r="E41" s="19" t="str">
        <f t="shared" si="9"/>
        <v>LNSW</v>
      </c>
      <c r="F41" s="21">
        <f t="shared" si="4"/>
        <v>79.246005644966573</v>
      </c>
      <c r="G41" s="21">
        <f t="shared" si="5"/>
        <v>4.3500610422155113</v>
      </c>
    </row>
    <row r="42" spans="1:7" x14ac:dyDescent="0.2">
      <c r="A42" s="19" t="s">
        <v>31</v>
      </c>
      <c r="B42" s="20">
        <v>0.51065833333333299</v>
      </c>
      <c r="C42" s="20">
        <v>0.43917916666666701</v>
      </c>
      <c r="D42" s="15"/>
      <c r="E42" s="19" t="str">
        <f t="shared" si="9"/>
        <v>DSWR [B24,L05-24]</v>
      </c>
      <c r="F42" s="21">
        <f t="shared" si="4"/>
        <v>42.516950163881624</v>
      </c>
      <c r="G42" s="21">
        <f t="shared" si="5"/>
        <v>31.354934900202544</v>
      </c>
    </row>
    <row r="43" spans="1:7" x14ac:dyDescent="0.2">
      <c r="A43" s="6" t="s">
        <v>57</v>
      </c>
      <c r="B43" s="16">
        <v>2.5996583333333336</v>
      </c>
      <c r="C43" s="16">
        <v>0.30017916666666666</v>
      </c>
      <c r="D43" s="15"/>
      <c r="E43" s="6" t="str">
        <f t="shared" si="9"/>
        <v>R21</v>
      </c>
      <c r="F43" s="12">
        <f t="shared" si="4"/>
        <v>216.4451974766944</v>
      </c>
      <c r="G43" s="12">
        <f t="shared" si="5"/>
        <v>21.431112729384271</v>
      </c>
    </row>
    <row r="44" spans="1:7" x14ac:dyDescent="0.2">
      <c r="A44" s="6" t="s">
        <v>58</v>
      </c>
      <c r="B44" s="16">
        <v>2.5966583333333335</v>
      </c>
      <c r="C44" s="16">
        <v>0.30517916666666667</v>
      </c>
      <c r="D44" s="15"/>
      <c r="E44" s="6" t="str">
        <f t="shared" si="9"/>
        <v>R22</v>
      </c>
      <c r="F44" s="12">
        <f t="shared" si="4"/>
        <v>216.19542019477078</v>
      </c>
      <c r="G44" s="12">
        <f t="shared" si="5"/>
        <v>21.788084749917299</v>
      </c>
    </row>
    <row r="45" spans="1:7" x14ac:dyDescent="0.2">
      <c r="A45" s="6" t="s">
        <v>59</v>
      </c>
      <c r="B45" s="16">
        <v>4.6216583333333334</v>
      </c>
      <c r="C45" s="16">
        <v>0.51307916666666675</v>
      </c>
      <c r="D45" s="15"/>
      <c r="E45" s="6" t="str">
        <f t="shared" si="9"/>
        <v>R23</v>
      </c>
      <c r="F45" s="12">
        <f t="shared" si="4"/>
        <v>384.79508549321298</v>
      </c>
      <c r="G45" s="12">
        <f t="shared" si="5"/>
        <v>36.630981363680718</v>
      </c>
    </row>
    <row r="46" spans="1:7" x14ac:dyDescent="0.2">
      <c r="A46" s="6" t="s">
        <v>60</v>
      </c>
      <c r="B46" s="16"/>
      <c r="C46" s="16">
        <v>0.95167916666666663</v>
      </c>
      <c r="D46" s="15"/>
      <c r="E46" s="6" t="str">
        <f t="shared" si="9"/>
        <v>R24</v>
      </c>
      <c r="F46" s="12"/>
      <c r="G46" s="12">
        <f t="shared" si="5"/>
        <v>67.944567004838149</v>
      </c>
    </row>
    <row r="47" spans="1:7" x14ac:dyDescent="0.2">
      <c r="A47" s="6" t="s">
        <v>61</v>
      </c>
      <c r="B47" s="16"/>
      <c r="C47" s="16">
        <v>1.2752791666666667</v>
      </c>
      <c r="E47" s="6" t="str">
        <f t="shared" si="9"/>
        <v>R25</v>
      </c>
      <c r="F47" s="12"/>
      <c r="G47" s="12">
        <f t="shared" si="5"/>
        <v>91.047796173735904</v>
      </c>
    </row>
    <row r="48" spans="1:7" x14ac:dyDescent="0.2">
      <c r="A48" s="6" t="s">
        <v>62</v>
      </c>
      <c r="B48" s="16">
        <v>1.0186583333333332</v>
      </c>
      <c r="C48" s="16">
        <v>0.18657916666666668</v>
      </c>
      <c r="E48" s="6" t="str">
        <f t="shared" si="9"/>
        <v>R26</v>
      </c>
      <c r="F48" s="12">
        <f t="shared" si="4"/>
        <v>84.812569902947644</v>
      </c>
      <c r="G48" s="12">
        <f t="shared" si="5"/>
        <v>13.320708422873816</v>
      </c>
    </row>
    <row r="49" spans="1:7" x14ac:dyDescent="0.2">
      <c r="A49" s="6" t="s">
        <v>63</v>
      </c>
      <c r="B49" s="16">
        <v>1.0366583333333332</v>
      </c>
      <c r="C49" s="16">
        <v>0.20307916666666667</v>
      </c>
      <c r="E49" s="6" t="str">
        <f t="shared" si="9"/>
        <v>R27</v>
      </c>
      <c r="F49" s="12">
        <f t="shared" si="4"/>
        <v>86.311233594489352</v>
      </c>
      <c r="G49" s="12">
        <f t="shared" si="5"/>
        <v>14.498716090632815</v>
      </c>
    </row>
    <row r="50" spans="1:7" x14ac:dyDescent="0.2">
      <c r="A50" s="6" t="s">
        <v>64</v>
      </c>
      <c r="B50" s="16">
        <v>1.0576583333333334</v>
      </c>
      <c r="C50" s="16">
        <v>0.22327916666666667</v>
      </c>
      <c r="E50" s="6" t="str">
        <f t="shared" si="9"/>
        <v>R28</v>
      </c>
      <c r="F50" s="12">
        <f t="shared" si="4"/>
        <v>88.059674567954687</v>
      </c>
      <c r="G50" s="12">
        <f t="shared" si="5"/>
        <v>15.94088305358626</v>
      </c>
    </row>
    <row r="51" spans="1:7" x14ac:dyDescent="0.2">
      <c r="A51" s="6" t="s">
        <v>65</v>
      </c>
      <c r="B51" s="16">
        <v>0.9816583333333333</v>
      </c>
      <c r="C51" s="16">
        <v>0.20497916666666668</v>
      </c>
      <c r="E51" s="6" t="str">
        <f t="shared" si="9"/>
        <v>R29</v>
      </c>
      <c r="F51" s="12">
        <f t="shared" si="4"/>
        <v>81.731983425889695</v>
      </c>
      <c r="G51" s="12">
        <f t="shared" si="5"/>
        <v>14.634365458435369</v>
      </c>
    </row>
    <row r="52" spans="1:7" x14ac:dyDescent="0.2">
      <c r="A52" s="6" t="s">
        <v>66</v>
      </c>
      <c r="B52" s="16">
        <v>0.96865833333333318</v>
      </c>
      <c r="C52" s="16">
        <v>0.2746791666666667</v>
      </c>
      <c r="E52" s="6" t="str">
        <f t="shared" si="9"/>
        <v>R30</v>
      </c>
      <c r="F52" s="12">
        <f t="shared" si="4"/>
        <v>80.649615204220666</v>
      </c>
      <c r="G52" s="12">
        <f t="shared" si="5"/>
        <v>19.610555424665815</v>
      </c>
    </row>
    <row r="53" spans="1:7" x14ac:dyDescent="0.2">
      <c r="A53" s="19" t="s">
        <v>28</v>
      </c>
      <c r="B53" s="20">
        <v>-9.6100000000000005E-3</v>
      </c>
      <c r="C53" s="20">
        <v>0</v>
      </c>
      <c r="E53" s="19" t="str">
        <f t="shared" si="9"/>
        <v>DIW</v>
      </c>
      <c r="F53" s="21">
        <f t="shared" si="4"/>
        <v>-0.80011989309532339</v>
      </c>
      <c r="G53" s="21">
        <f t="shared" si="5"/>
        <v>0</v>
      </c>
    </row>
    <row r="54" spans="1:7" x14ac:dyDescent="0.2">
      <c r="A54" s="19" t="s">
        <v>27</v>
      </c>
      <c r="B54" s="20">
        <v>0.93340000000000001</v>
      </c>
      <c r="C54" s="20">
        <v>5.9249999999999997E-2</v>
      </c>
      <c r="D54" s="15"/>
      <c r="E54" s="19" t="str">
        <f t="shared" si="9"/>
        <v>LNSW</v>
      </c>
      <c r="F54" s="21">
        <f t="shared" si="4"/>
        <v>77.714038315835055</v>
      </c>
      <c r="G54" s="21">
        <f t="shared" si="5"/>
        <v>4.230118443316413</v>
      </c>
    </row>
    <row r="55" spans="1:7" x14ac:dyDescent="0.2">
      <c r="A55" s="19" t="s">
        <v>31</v>
      </c>
      <c r="B55" s="20">
        <v>0.51385833333333297</v>
      </c>
      <c r="C55" s="20">
        <v>0.43507916666666702</v>
      </c>
      <c r="D55" s="15"/>
      <c r="E55" s="19" t="str">
        <f t="shared" si="9"/>
        <v>DSWR [B24,L05-24]</v>
      </c>
      <c r="F55" s="21">
        <f t="shared" si="4"/>
        <v>42.783379264600143</v>
      </c>
      <c r="G55" s="21">
        <f t="shared" si="5"/>
        <v>31.06221784336546</v>
      </c>
    </row>
    <row r="56" spans="1:7" x14ac:dyDescent="0.2">
      <c r="A56" s="6" t="s">
        <v>67</v>
      </c>
      <c r="B56" s="16">
        <v>0.94485833333333336</v>
      </c>
      <c r="C56" s="16">
        <v>0.2993791666666667</v>
      </c>
      <c r="D56" s="15"/>
      <c r="E56" s="6" t="str">
        <f t="shared" si="9"/>
        <v>R31</v>
      </c>
      <c r="F56" s="12">
        <f t="shared" si="4"/>
        <v>78.668048767626644</v>
      </c>
      <c r="G56" s="12">
        <f t="shared" si="5"/>
        <v>21.373997206098988</v>
      </c>
    </row>
    <row r="57" spans="1:7" x14ac:dyDescent="0.2">
      <c r="A57" s="6" t="s">
        <v>68</v>
      </c>
      <c r="B57" s="16">
        <v>0.92705833333333332</v>
      </c>
      <c r="C57" s="16">
        <v>0.29597916666666668</v>
      </c>
      <c r="D57" s="15"/>
      <c r="E57" s="6" t="str">
        <f t="shared" si="9"/>
        <v>R32</v>
      </c>
      <c r="F57" s="12">
        <f t="shared" si="4"/>
        <v>77.186036894879834</v>
      </c>
      <c r="G57" s="12">
        <f t="shared" si="5"/>
        <v>21.131256232136526</v>
      </c>
    </row>
    <row r="58" spans="1:7" x14ac:dyDescent="0.2">
      <c r="A58" s="6" t="s">
        <v>69</v>
      </c>
      <c r="B58" s="16">
        <v>1.0856583333333334</v>
      </c>
      <c r="C58" s="16">
        <v>0.30697916666666669</v>
      </c>
      <c r="D58" s="15"/>
      <c r="E58" s="6" t="str">
        <f t="shared" si="9"/>
        <v>R33</v>
      </c>
      <c r="F58" s="12">
        <f t="shared" si="4"/>
        <v>90.390929199241796</v>
      </c>
      <c r="G58" s="12">
        <f t="shared" si="5"/>
        <v>21.916594677309192</v>
      </c>
    </row>
    <row r="59" spans="1:7" x14ac:dyDescent="0.2">
      <c r="A59" s="6" t="s">
        <v>70</v>
      </c>
      <c r="B59" s="16">
        <v>0.93645833333333339</v>
      </c>
      <c r="C59" s="16">
        <v>0.3794791666666667</v>
      </c>
      <c r="D59" s="15"/>
      <c r="E59" s="6" t="str">
        <f t="shared" si="9"/>
        <v>R34</v>
      </c>
      <c r="F59" s="12">
        <f t="shared" si="4"/>
        <v>77.968672378240527</v>
      </c>
      <c r="G59" s="12">
        <f t="shared" si="5"/>
        <v>27.092688975038136</v>
      </c>
    </row>
    <row r="60" spans="1:7" x14ac:dyDescent="0.2">
      <c r="A60" s="6" t="s">
        <v>71</v>
      </c>
      <c r="B60" s="16">
        <v>0.94905833333333334</v>
      </c>
      <c r="C60" s="16">
        <v>0.62927916666666661</v>
      </c>
      <c r="E60" s="6" t="str">
        <f t="shared" si="9"/>
        <v>R35</v>
      </c>
      <c r="F60" s="12">
        <f t="shared" si="4"/>
        <v>79.017736962319717</v>
      </c>
      <c r="G60" s="12">
        <f t="shared" si="5"/>
        <v>44.927011120868336</v>
      </c>
    </row>
    <row r="61" spans="1:7" x14ac:dyDescent="0.2">
      <c r="A61" s="6" t="s">
        <v>72</v>
      </c>
      <c r="B61" s="16">
        <v>1.2516583333333333</v>
      </c>
      <c r="C61" s="16">
        <v>0.79007916666666667</v>
      </c>
      <c r="E61" s="6" t="str">
        <f t="shared" si="9"/>
        <v>R36</v>
      </c>
      <c r="F61" s="12">
        <f t="shared" si="4"/>
        <v>104.21193879901531</v>
      </c>
      <c r="G61" s="12">
        <f t="shared" si="5"/>
        <v>56.407231301210608</v>
      </c>
    </row>
    <row r="62" spans="1:7" x14ac:dyDescent="0.2">
      <c r="A62" s="6" t="s">
        <v>73</v>
      </c>
      <c r="B62" s="16">
        <v>0.91225833333333339</v>
      </c>
      <c r="C62" s="16">
        <v>0.14927916666666668</v>
      </c>
      <c r="E62" s="6" t="str">
        <f t="shared" si="9"/>
        <v>R37</v>
      </c>
      <c r="F62" s="12">
        <f t="shared" si="4"/>
        <v>75.953802304056666</v>
      </c>
      <c r="G62" s="12">
        <f t="shared" si="5"/>
        <v>10.657697149697407</v>
      </c>
    </row>
    <row r="63" spans="1:7" x14ac:dyDescent="0.2">
      <c r="A63" s="6" t="s">
        <v>74</v>
      </c>
      <c r="B63" s="16">
        <v>0.91355833333333325</v>
      </c>
      <c r="C63" s="16">
        <v>0.14607916666666668</v>
      </c>
      <c r="E63" s="6" t="str">
        <f t="shared" si="9"/>
        <v>R38</v>
      </c>
      <c r="F63" s="12">
        <f t="shared" si="4"/>
        <v>76.062039126223553</v>
      </c>
      <c r="G63" s="12">
        <f t="shared" si="5"/>
        <v>10.429235056556267</v>
      </c>
    </row>
    <row r="64" spans="1:7" x14ac:dyDescent="0.2">
      <c r="A64" s="6" t="s">
        <v>75</v>
      </c>
      <c r="B64" s="16">
        <v>0.97465833333333318</v>
      </c>
      <c r="C64" s="16">
        <v>0.15137916666666668</v>
      </c>
      <c r="E64" s="6" t="str">
        <f t="shared" si="9"/>
        <v>R39</v>
      </c>
      <c r="F64" s="12">
        <f t="shared" si="4"/>
        <v>81.149169768067907</v>
      </c>
      <c r="G64" s="12">
        <f t="shared" si="5"/>
        <v>10.80762539832128</v>
      </c>
    </row>
    <row r="65" spans="1:7" x14ac:dyDescent="0.2">
      <c r="A65" s="6" t="s">
        <v>76</v>
      </c>
      <c r="B65" s="16">
        <v>1.3626583333333333</v>
      </c>
      <c r="C65" s="16">
        <v>0.17977916666666668</v>
      </c>
      <c r="E65" s="6" t="str">
        <f t="shared" si="9"/>
        <v>R40</v>
      </c>
      <c r="F65" s="12">
        <f t="shared" si="4"/>
        <v>113.45369823018919</v>
      </c>
      <c r="G65" s="12">
        <f t="shared" si="5"/>
        <v>12.835226474948895</v>
      </c>
    </row>
    <row r="66" spans="1:7" x14ac:dyDescent="0.2">
      <c r="A66" s="19" t="s">
        <v>28</v>
      </c>
      <c r="B66" s="20">
        <v>-1.65E-3</v>
      </c>
      <c r="C66" s="20">
        <v>0</v>
      </c>
      <c r="E66" s="19" t="str">
        <f t="shared" si="9"/>
        <v>DIW</v>
      </c>
      <c r="F66" s="21">
        <f t="shared" si="4"/>
        <v>-0.13737750505798996</v>
      </c>
      <c r="G66" s="21">
        <f t="shared" si="5"/>
        <v>0</v>
      </c>
    </row>
    <row r="67" spans="1:7" x14ac:dyDescent="0.2">
      <c r="A67" s="19" t="s">
        <v>27</v>
      </c>
      <c r="B67" s="20">
        <v>0.91700000000000004</v>
      </c>
      <c r="C67" s="20">
        <v>5.6090000000000001E-2</v>
      </c>
      <c r="E67" s="19" t="str">
        <f t="shared" si="9"/>
        <v>LNSW</v>
      </c>
      <c r="F67" s="21">
        <f t="shared" ref="F67:F68" si="10">B67/12.0107*1000</f>
        <v>76.348589174652602</v>
      </c>
      <c r="G67" s="21">
        <f t="shared" ref="G67:G68" si="11">C67/14.0067*1000</f>
        <v>4.004512126339538</v>
      </c>
    </row>
    <row r="68" spans="1:7" x14ac:dyDescent="0.2">
      <c r="A68" s="19" t="s">
        <v>31</v>
      </c>
      <c r="B68" s="21">
        <v>0.51065833333333299</v>
      </c>
      <c r="C68" s="21">
        <v>0.43537916666666671</v>
      </c>
      <c r="E68" s="19" t="str">
        <f t="shared" si="9"/>
        <v>DSWR [B24,L05-24]</v>
      </c>
      <c r="F68" s="21">
        <f t="shared" si="10"/>
        <v>42.516950163881624</v>
      </c>
      <c r="G68" s="21">
        <f t="shared" si="11"/>
        <v>31.083636164597419</v>
      </c>
    </row>
    <row r="69" spans="1:7" x14ac:dyDescent="0.2">
      <c r="A69" s="6" t="s">
        <v>77</v>
      </c>
      <c r="B69" s="16">
        <v>1.0866583333333333</v>
      </c>
      <c r="C69" s="16">
        <v>0.14927916666666668</v>
      </c>
      <c r="E69" s="6" t="str">
        <f t="shared" ref="E69:E81" si="12">A69</f>
        <v>R41</v>
      </c>
      <c r="F69" s="12">
        <f t="shared" ref="F69:F81" si="13">B69/12.0107*1000</f>
        <v>90.474188293216329</v>
      </c>
      <c r="G69" s="12">
        <f t="shared" ref="G69:G81" si="14">C69/14.0067*1000</f>
        <v>10.657697149697407</v>
      </c>
    </row>
    <row r="70" spans="1:7" x14ac:dyDescent="0.2">
      <c r="A70" s="6" t="s">
        <v>78</v>
      </c>
      <c r="B70" s="16">
        <v>0.96965833333333329</v>
      </c>
      <c r="C70" s="16">
        <v>0.15657916666666669</v>
      </c>
      <c r="E70" s="6" t="str">
        <f t="shared" si="12"/>
        <v>R42</v>
      </c>
      <c r="F70" s="12">
        <f t="shared" si="13"/>
        <v>80.732874298195213</v>
      </c>
      <c r="G70" s="12">
        <f t="shared" si="14"/>
        <v>11.178876299675633</v>
      </c>
    </row>
    <row r="71" spans="1:7" x14ac:dyDescent="0.2">
      <c r="A71" s="6" t="s">
        <v>79</v>
      </c>
      <c r="B71" s="16">
        <v>1.5916583333333332</v>
      </c>
      <c r="C71" s="16">
        <v>0.19517916666666668</v>
      </c>
      <c r="E71" s="6" t="str">
        <f t="shared" si="12"/>
        <v>R43</v>
      </c>
      <c r="F71" s="12">
        <f t="shared" si="13"/>
        <v>132.5200307503587</v>
      </c>
      <c r="G71" s="12">
        <f t="shared" si="14"/>
        <v>13.934700298190627</v>
      </c>
    </row>
    <row r="72" spans="1:7" x14ac:dyDescent="0.2">
      <c r="A72" s="6" t="s">
        <v>80</v>
      </c>
      <c r="B72" s="16">
        <v>1.8586583333333333</v>
      </c>
      <c r="C72" s="16">
        <v>0.20757916666666668</v>
      </c>
      <c r="E72" s="6" t="str">
        <f t="shared" si="12"/>
        <v>R44</v>
      </c>
      <c r="F72" s="12">
        <f t="shared" si="13"/>
        <v>154.75020884156072</v>
      </c>
      <c r="G72" s="12">
        <f t="shared" si="14"/>
        <v>14.819990909112544</v>
      </c>
    </row>
    <row r="73" spans="1:7" x14ac:dyDescent="0.2">
      <c r="A73" s="6" t="s">
        <v>81</v>
      </c>
      <c r="B73" s="16">
        <v>3.0856583333333334</v>
      </c>
      <c r="C73" s="16">
        <v>0.32617916666666669</v>
      </c>
      <c r="E73" s="6" t="str">
        <f t="shared" si="12"/>
        <v>R45</v>
      </c>
      <c r="F73" s="12">
        <f t="shared" si="13"/>
        <v>256.90911714832055</v>
      </c>
      <c r="G73" s="12">
        <f t="shared" si="14"/>
        <v>23.287367236156033</v>
      </c>
    </row>
    <row r="74" spans="1:7" x14ac:dyDescent="0.2">
      <c r="A74" s="6" t="s">
        <v>82</v>
      </c>
      <c r="B74" s="16">
        <v>1.8186583333333333</v>
      </c>
      <c r="C74" s="16">
        <v>0.21867916666666667</v>
      </c>
      <c r="E74" s="6" t="str">
        <f t="shared" si="12"/>
        <v>R46</v>
      </c>
      <c r="F74" s="12">
        <f t="shared" si="13"/>
        <v>151.41984508257914</v>
      </c>
      <c r="G74" s="12">
        <f t="shared" si="14"/>
        <v>15.612468794695873</v>
      </c>
    </row>
    <row r="75" spans="1:7" x14ac:dyDescent="0.2">
      <c r="A75" s="6" t="s">
        <v>83</v>
      </c>
      <c r="B75" s="16">
        <v>1.8466583333333333</v>
      </c>
      <c r="C75" s="16">
        <v>0.25797916666666665</v>
      </c>
      <c r="E75" s="6" t="str">
        <f t="shared" si="12"/>
        <v>R47</v>
      </c>
      <c r="F75" s="12">
        <f t="shared" si="13"/>
        <v>153.75109971386624</v>
      </c>
      <c r="G75" s="12">
        <f t="shared" si="14"/>
        <v>18.418268876085492</v>
      </c>
    </row>
    <row r="76" spans="1:7" x14ac:dyDescent="0.2">
      <c r="A76" s="6" t="s">
        <v>84</v>
      </c>
      <c r="B76" s="16">
        <v>4.9376583333333333</v>
      </c>
      <c r="C76" s="16">
        <v>0.52317916666666675</v>
      </c>
      <c r="E76" s="6" t="str">
        <f t="shared" si="12"/>
        <v>R48</v>
      </c>
      <c r="F76" s="12">
        <f t="shared" si="13"/>
        <v>411.10495918916746</v>
      </c>
      <c r="G76" s="12">
        <f t="shared" si="14"/>
        <v>37.352064845157443</v>
      </c>
    </row>
    <row r="77" spans="1:7" x14ac:dyDescent="0.2">
      <c r="A77" s="6" t="s">
        <v>85</v>
      </c>
      <c r="B77" s="16">
        <v>2.0596583333333336</v>
      </c>
      <c r="C77" s="16">
        <v>0.26997916666666666</v>
      </c>
      <c r="E77" s="6" t="str">
        <f t="shared" si="12"/>
        <v>R49</v>
      </c>
      <c r="F77" s="12">
        <f t="shared" si="13"/>
        <v>171.48528673044316</v>
      </c>
      <c r="G77" s="12">
        <f t="shared" si="14"/>
        <v>19.275001725364763</v>
      </c>
    </row>
    <row r="78" spans="1:7" x14ac:dyDescent="0.2">
      <c r="A78" s="6" t="s">
        <v>86</v>
      </c>
      <c r="B78" s="16"/>
      <c r="C78" s="16">
        <v>0.65767916666666659</v>
      </c>
      <c r="E78" s="6" t="str">
        <f t="shared" si="12"/>
        <v>R50</v>
      </c>
      <c r="F78" s="12"/>
      <c r="G78" s="12">
        <f t="shared" si="14"/>
        <v>46.954612197495955</v>
      </c>
    </row>
    <row r="79" spans="1:7" x14ac:dyDescent="0.2">
      <c r="A79" s="22" t="s">
        <v>28</v>
      </c>
      <c r="B79" s="20">
        <v>-1.2999999999999999E-3</v>
      </c>
      <c r="C79" s="20">
        <v>0</v>
      </c>
      <c r="E79" s="19" t="str">
        <f t="shared" si="12"/>
        <v>DIW</v>
      </c>
      <c r="F79" s="21">
        <f t="shared" si="13"/>
        <v>-0.10823682216690118</v>
      </c>
      <c r="G79" s="21">
        <f t="shared" si="14"/>
        <v>0</v>
      </c>
    </row>
    <row r="80" spans="1:7" x14ac:dyDescent="0.2">
      <c r="A80" s="22" t="s">
        <v>27</v>
      </c>
      <c r="B80" s="20">
        <v>0.92669999999999997</v>
      </c>
      <c r="C80" s="20">
        <v>5.6399999999999999E-2</v>
      </c>
      <c r="E80" s="19" t="str">
        <f t="shared" si="12"/>
        <v>LNSW</v>
      </c>
      <c r="F80" s="21">
        <f t="shared" si="13"/>
        <v>77.156202386205635</v>
      </c>
      <c r="G80" s="21">
        <f t="shared" si="14"/>
        <v>4.0266443916125851</v>
      </c>
    </row>
    <row r="81" spans="1:7" x14ac:dyDescent="0.2">
      <c r="A81" s="22" t="s">
        <v>31</v>
      </c>
      <c r="B81" s="20">
        <v>0.50965833333333299</v>
      </c>
      <c r="C81" s="20">
        <v>0.43987916666666665</v>
      </c>
      <c r="E81" s="19" t="str">
        <f t="shared" si="12"/>
        <v>DSWR [B24,L05-24]</v>
      </c>
      <c r="F81" s="21">
        <f t="shared" si="13"/>
        <v>42.433691069907084</v>
      </c>
      <c r="G81" s="21">
        <f t="shared" si="14"/>
        <v>31.404910983077141</v>
      </c>
    </row>
  </sheetData>
  <mergeCells count="3">
    <mergeCell ref="D1:G2"/>
    <mergeCell ref="D3:G3"/>
    <mergeCell ref="D4:G4"/>
  </mergeCells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2BC0C-B63E-4F23-AD13-7E3E45EECCC7}">
  <dimension ref="A1:H52"/>
  <sheetViews>
    <sheetView zoomScaleNormal="100" workbookViewId="0">
      <selection activeCell="A43" sqref="A43:A49"/>
    </sheetView>
  </sheetViews>
  <sheetFormatPr baseColWidth="10" defaultColWidth="8.83203125" defaultRowHeight="15" x14ac:dyDescent="0.2"/>
  <cols>
    <col min="1" max="1" width="47.33203125" bestFit="1" customWidth="1"/>
    <col min="2" max="2" width="23.1640625" bestFit="1" customWidth="1"/>
    <col min="3" max="3" width="14.5" customWidth="1"/>
    <col min="5" max="5" width="42.1640625" bestFit="1" customWidth="1"/>
    <col min="6" max="6" width="15.5" customWidth="1"/>
    <col min="7" max="7" width="14" customWidth="1"/>
  </cols>
  <sheetData>
    <row r="1" spans="1:8" x14ac:dyDescent="0.2">
      <c r="A1" s="1" t="s">
        <v>0</v>
      </c>
      <c r="B1" s="2" t="s">
        <v>1</v>
      </c>
      <c r="D1" s="26" t="s">
        <v>2</v>
      </c>
      <c r="E1" s="27"/>
      <c r="F1" s="27"/>
      <c r="G1" s="28"/>
    </row>
    <row r="2" spans="1:8" ht="16" thickBot="1" x14ac:dyDescent="0.25">
      <c r="A2" s="1" t="s">
        <v>3</v>
      </c>
      <c r="B2" s="2">
        <v>1</v>
      </c>
      <c r="D2" s="29"/>
      <c r="E2" s="30"/>
      <c r="F2" s="30"/>
      <c r="G2" s="31"/>
    </row>
    <row r="3" spans="1:8" x14ac:dyDescent="0.2">
      <c r="A3" s="1" t="s">
        <v>4</v>
      </c>
      <c r="B3" s="14" t="s">
        <v>17</v>
      </c>
      <c r="D3" s="32" t="s">
        <v>29</v>
      </c>
      <c r="E3" s="33"/>
      <c r="F3" s="33"/>
      <c r="G3" s="34"/>
    </row>
    <row r="4" spans="1:8" ht="16" thickBot="1" x14ac:dyDescent="0.25">
      <c r="A4" s="1" t="s">
        <v>5</v>
      </c>
      <c r="B4" s="17">
        <v>46168</v>
      </c>
      <c r="C4" s="3"/>
      <c r="D4" s="35" t="s">
        <v>30</v>
      </c>
      <c r="E4" s="36"/>
      <c r="F4" s="36"/>
      <c r="G4" s="37"/>
    </row>
    <row r="5" spans="1:8" x14ac:dyDescent="0.2">
      <c r="A5" s="1" t="s">
        <v>6</v>
      </c>
      <c r="B5" s="18" t="s">
        <v>35</v>
      </c>
    </row>
    <row r="6" spans="1:8" x14ac:dyDescent="0.2">
      <c r="F6" s="38" t="s">
        <v>36</v>
      </c>
      <c r="G6" s="38"/>
      <c r="H6" s="38"/>
    </row>
    <row r="7" spans="1:8" ht="15" customHeight="1" x14ac:dyDescent="0.2">
      <c r="F7" s="38"/>
      <c r="G7" s="38"/>
      <c r="H7" s="38"/>
    </row>
    <row r="8" spans="1:8" x14ac:dyDescent="0.2">
      <c r="F8" s="38"/>
      <c r="G8" s="38"/>
      <c r="H8" s="38"/>
    </row>
    <row r="9" spans="1:8" x14ac:dyDescent="0.2">
      <c r="A9" s="4" t="s">
        <v>7</v>
      </c>
      <c r="F9" s="38"/>
      <c r="G9" s="38"/>
      <c r="H9" s="38"/>
    </row>
    <row r="10" spans="1:8" x14ac:dyDescent="0.2">
      <c r="A10" s="5" t="s">
        <v>8</v>
      </c>
      <c r="B10" s="6" t="s">
        <v>9</v>
      </c>
    </row>
    <row r="11" spans="1:8" x14ac:dyDescent="0.2">
      <c r="A11" s="7"/>
      <c r="B11" s="10"/>
    </row>
    <row r="12" spans="1:8" x14ac:dyDescent="0.2">
      <c r="A12" t="s">
        <v>10</v>
      </c>
      <c r="E12" t="s">
        <v>11</v>
      </c>
    </row>
    <row r="13" spans="1:8" x14ac:dyDescent="0.2">
      <c r="A13" s="1" t="s">
        <v>12</v>
      </c>
      <c r="B13" s="1" t="s">
        <v>13</v>
      </c>
      <c r="C13" s="1" t="s">
        <v>14</v>
      </c>
      <c r="E13" s="1" t="s">
        <v>12</v>
      </c>
      <c r="F13" s="1" t="s">
        <v>15</v>
      </c>
      <c r="G13" s="1" t="s">
        <v>16</v>
      </c>
    </row>
    <row r="14" spans="1:8" x14ac:dyDescent="0.2">
      <c r="A14" s="19" t="s">
        <v>28</v>
      </c>
      <c r="B14" s="20">
        <v>1.018E-2</v>
      </c>
      <c r="C14" s="20">
        <v>0</v>
      </c>
      <c r="E14" s="19" t="str">
        <f>A14</f>
        <v>DIW</v>
      </c>
      <c r="F14" s="21">
        <f>B14/12.0107*1000</f>
        <v>0.84757757666081079</v>
      </c>
      <c r="G14" s="21">
        <f>C14/14.0067*1000</f>
        <v>0</v>
      </c>
    </row>
    <row r="15" spans="1:8" x14ac:dyDescent="0.2">
      <c r="A15" s="19" t="s">
        <v>27</v>
      </c>
      <c r="B15" s="20">
        <v>0.95309999999999995</v>
      </c>
      <c r="C15" s="20">
        <v>5.6370000000000003E-2</v>
      </c>
      <c r="E15" s="19" t="str">
        <f>A15</f>
        <v>LNSW</v>
      </c>
      <c r="F15" s="21">
        <f>B15/12.0107*1000</f>
        <v>79.35424246713346</v>
      </c>
      <c r="G15" s="21">
        <f>C15/14.0067*1000</f>
        <v>4.0245025594893873</v>
      </c>
    </row>
    <row r="16" spans="1:8" x14ac:dyDescent="0.2">
      <c r="A16" s="19" t="s">
        <v>31</v>
      </c>
      <c r="B16" s="20">
        <v>0.51399166666666662</v>
      </c>
      <c r="C16" s="20">
        <v>0.43560833333333299</v>
      </c>
      <c r="E16" s="19" t="str">
        <f>A16</f>
        <v>DSWR [B24,L05-24]</v>
      </c>
      <c r="F16" s="21">
        <f>B16/12.0107*1000</f>
        <v>42.794480477130108</v>
      </c>
      <c r="G16" s="21">
        <f>C16/14.0067*1000</f>
        <v>31.099997382205157</v>
      </c>
    </row>
    <row r="17" spans="1:7" x14ac:dyDescent="0.2">
      <c r="A17" s="23" t="s">
        <v>50</v>
      </c>
      <c r="B17" s="25">
        <v>10.523391666666667</v>
      </c>
      <c r="C17" s="16"/>
      <c r="D17" s="15"/>
      <c r="E17" s="23" t="str">
        <f t="shared" ref="E17:E22" si="0">A17</f>
        <v>R14</v>
      </c>
      <c r="F17" s="24">
        <f t="shared" ref="F17:F22" si="1">B17/12.0107*1000</f>
        <v>876.16805570588451</v>
      </c>
      <c r="G17" s="12"/>
    </row>
    <row r="18" spans="1:7" x14ac:dyDescent="0.2">
      <c r="A18" s="23" t="s">
        <v>49</v>
      </c>
      <c r="B18" s="25">
        <v>8.9426583333333323</v>
      </c>
      <c r="C18" s="16"/>
      <c r="D18" s="15"/>
      <c r="E18" s="23" t="str">
        <f t="shared" ref="E18:E21" si="2">A18</f>
        <v>R13</v>
      </c>
      <c r="F18" s="24">
        <f t="shared" ref="F18:F21" si="3">B18/12.0107*1000</f>
        <v>744.55763055719751</v>
      </c>
      <c r="G18" s="12"/>
    </row>
    <row r="19" spans="1:7" x14ac:dyDescent="0.2">
      <c r="A19" s="23" t="s">
        <v>60</v>
      </c>
      <c r="B19" s="25">
        <v>8.883658333333333</v>
      </c>
      <c r="C19" s="16"/>
      <c r="D19" s="15"/>
      <c r="E19" s="23" t="str">
        <f t="shared" si="2"/>
        <v>R24</v>
      </c>
      <c r="F19" s="24">
        <f t="shared" si="3"/>
        <v>739.64534401269975</v>
      </c>
      <c r="G19" s="12"/>
    </row>
    <row r="20" spans="1:7" x14ac:dyDescent="0.2">
      <c r="A20" s="23" t="s">
        <v>61</v>
      </c>
      <c r="B20" s="25">
        <v>11.513658333333334</v>
      </c>
      <c r="C20" s="16"/>
      <c r="D20" s="15"/>
      <c r="E20" s="23" t="str">
        <f t="shared" si="2"/>
        <v>R25</v>
      </c>
      <c r="F20" s="24">
        <f t="shared" si="3"/>
        <v>958.61676116573835</v>
      </c>
      <c r="G20" s="12"/>
    </row>
    <row r="21" spans="1:7" x14ac:dyDescent="0.2">
      <c r="A21" s="23" t="s">
        <v>86</v>
      </c>
      <c r="B21" s="25">
        <v>6.2786583333333335</v>
      </c>
      <c r="C21" s="16"/>
      <c r="D21" s="15"/>
      <c r="E21" s="23" t="str">
        <f t="shared" si="2"/>
        <v>R50</v>
      </c>
      <c r="F21" s="24">
        <f t="shared" si="3"/>
        <v>522.75540420902473</v>
      </c>
      <c r="G21" s="12"/>
    </row>
    <row r="22" spans="1:7" x14ac:dyDescent="0.2">
      <c r="A22" s="6" t="s">
        <v>87</v>
      </c>
      <c r="B22" s="16">
        <v>0.99139166666666667</v>
      </c>
      <c r="C22" s="16">
        <v>0.18330833333333338</v>
      </c>
      <c r="D22" s="15"/>
      <c r="E22" s="6" t="str">
        <f t="shared" si="0"/>
        <v>R51</v>
      </c>
      <c r="F22" s="12">
        <f t="shared" si="1"/>
        <v>82.542371940575208</v>
      </c>
      <c r="G22" s="12">
        <f t="shared" ref="G22" si="4">C22/14.0067*1000</f>
        <v>13.08718922610846</v>
      </c>
    </row>
    <row r="23" spans="1:7" x14ac:dyDescent="0.2">
      <c r="A23" s="6" t="s">
        <v>88</v>
      </c>
      <c r="B23" s="16">
        <v>1.1313916666666666</v>
      </c>
      <c r="C23" s="16">
        <v>0.19070833333333337</v>
      </c>
      <c r="D23" s="15"/>
      <c r="E23" s="6" t="str">
        <f>A23</f>
        <v>R52</v>
      </c>
      <c r="F23" s="12">
        <f>B23/12.0107*1000</f>
        <v>94.198645097010711</v>
      </c>
      <c r="G23" s="12">
        <f>C23/14.0067*1000</f>
        <v>13.615507816497344</v>
      </c>
    </row>
    <row r="24" spans="1:7" x14ac:dyDescent="0.2">
      <c r="A24" s="6" t="s">
        <v>89</v>
      </c>
      <c r="B24" s="16">
        <v>1.0183916666666666</v>
      </c>
      <c r="C24" s="16">
        <v>0.16360833333333336</v>
      </c>
      <c r="D24" s="15"/>
      <c r="E24" s="6" t="str">
        <f t="shared" ref="E24:E38" si="5">A24</f>
        <v>R53</v>
      </c>
      <c r="F24" s="12">
        <f t="shared" ref="F24:F52" si="6">B24/12.0107*1000</f>
        <v>84.790367477887756</v>
      </c>
      <c r="G24" s="12">
        <f t="shared" ref="G24:G52" si="7">C24/14.0067*1000</f>
        <v>11.68071946520832</v>
      </c>
    </row>
    <row r="25" spans="1:7" x14ac:dyDescent="0.2">
      <c r="A25" s="6" t="s">
        <v>90</v>
      </c>
      <c r="B25" s="16">
        <v>4.5733916666666667</v>
      </c>
      <c r="C25" s="16">
        <v>0.21310833333333337</v>
      </c>
      <c r="D25" s="15"/>
      <c r="E25" s="6" t="str">
        <f t="shared" si="5"/>
        <v>R54</v>
      </c>
      <c r="F25" s="12">
        <f t="shared" si="6"/>
        <v>380.77644655737527</v>
      </c>
      <c r="G25" s="12">
        <f t="shared" si="7"/>
        <v>15.214742468485323</v>
      </c>
    </row>
    <row r="26" spans="1:7" x14ac:dyDescent="0.2">
      <c r="A26" s="6" t="s">
        <v>91</v>
      </c>
      <c r="B26" s="16">
        <v>1.5113916666666667</v>
      </c>
      <c r="C26" s="16">
        <v>0.22390833333333338</v>
      </c>
      <c r="D26" s="15"/>
      <c r="E26" s="6" t="str">
        <f t="shared" si="5"/>
        <v>R55</v>
      </c>
      <c r="F26" s="12">
        <f t="shared" si="6"/>
        <v>125.83710080733567</v>
      </c>
      <c r="G26" s="12">
        <f t="shared" si="7"/>
        <v>15.985802032836668</v>
      </c>
    </row>
    <row r="27" spans="1:7" x14ac:dyDescent="0.2">
      <c r="A27" s="19" t="s">
        <v>28</v>
      </c>
      <c r="B27" s="20">
        <v>-4.5599999999999998E-3</v>
      </c>
      <c r="C27" s="20">
        <v>0</v>
      </c>
      <c r="E27" s="19" t="str">
        <f t="shared" si="5"/>
        <v>DIW</v>
      </c>
      <c r="F27" s="21">
        <f t="shared" si="6"/>
        <v>-0.37966146852389954</v>
      </c>
      <c r="G27" s="21">
        <f t="shared" si="7"/>
        <v>0</v>
      </c>
    </row>
    <row r="28" spans="1:7" x14ac:dyDescent="0.2">
      <c r="A28" s="19" t="s">
        <v>27</v>
      </c>
      <c r="B28" s="20">
        <v>0.9486</v>
      </c>
      <c r="C28" s="20">
        <v>6.3350000000000004E-2</v>
      </c>
      <c r="E28" s="19" t="str">
        <f t="shared" si="5"/>
        <v>LNSW</v>
      </c>
      <c r="F28" s="21">
        <f t="shared" si="6"/>
        <v>78.979576544248047</v>
      </c>
      <c r="G28" s="21">
        <f t="shared" si="7"/>
        <v>4.5228355001534979</v>
      </c>
    </row>
    <row r="29" spans="1:7" x14ac:dyDescent="0.2">
      <c r="A29" s="19" t="s">
        <v>31</v>
      </c>
      <c r="B29" s="20">
        <v>0.50969166666666699</v>
      </c>
      <c r="C29" s="20">
        <v>0.4455083333333334</v>
      </c>
      <c r="E29" s="19" t="str">
        <f t="shared" si="5"/>
        <v>DSWR [B24,L05-24]</v>
      </c>
      <c r="F29" s="21">
        <f t="shared" si="6"/>
        <v>42.436466373039622</v>
      </c>
      <c r="G29" s="21">
        <f t="shared" si="7"/>
        <v>31.806801982860588</v>
      </c>
    </row>
    <row r="30" spans="1:7" x14ac:dyDescent="0.2">
      <c r="A30" s="6" t="s">
        <v>92</v>
      </c>
      <c r="B30" s="16">
        <v>1.5953916666666665</v>
      </c>
      <c r="C30" s="16">
        <v>0.23780833333333337</v>
      </c>
      <c r="E30" s="6" t="str">
        <f t="shared" si="5"/>
        <v>R56</v>
      </c>
      <c r="F30" s="12">
        <f t="shared" si="6"/>
        <v>132.83086470119699</v>
      </c>
      <c r="G30" s="12">
        <f t="shared" si="7"/>
        <v>16.978184249918492</v>
      </c>
    </row>
    <row r="31" spans="1:7" x14ac:dyDescent="0.2">
      <c r="A31" s="6" t="s">
        <v>93</v>
      </c>
      <c r="B31" s="16">
        <v>1.6713916666666666</v>
      </c>
      <c r="C31" s="16">
        <v>0.25880833333333336</v>
      </c>
      <c r="E31" s="6" t="str">
        <f t="shared" si="5"/>
        <v>R57</v>
      </c>
      <c r="F31" s="12">
        <f t="shared" si="6"/>
        <v>139.15855584326198</v>
      </c>
      <c r="G31" s="12">
        <f t="shared" si="7"/>
        <v>18.477466736157218</v>
      </c>
    </row>
    <row r="32" spans="1:7" x14ac:dyDescent="0.2">
      <c r="A32" s="6" t="s">
        <v>94</v>
      </c>
      <c r="B32" s="16">
        <v>1.6113916666666666</v>
      </c>
      <c r="C32" s="16">
        <v>0.24380833333333338</v>
      </c>
      <c r="E32" s="6" t="str">
        <f t="shared" si="5"/>
        <v>R58</v>
      </c>
      <c r="F32" s="12">
        <f t="shared" si="6"/>
        <v>134.1630102047896</v>
      </c>
      <c r="G32" s="12">
        <f t="shared" si="7"/>
        <v>17.406550674558133</v>
      </c>
    </row>
    <row r="33" spans="1:7" x14ac:dyDescent="0.2">
      <c r="A33" s="6" t="s">
        <v>95</v>
      </c>
      <c r="B33" s="16">
        <v>2.1893916666666664</v>
      </c>
      <c r="C33" s="16">
        <v>0.32680833333333337</v>
      </c>
      <c r="E33" s="6" t="str">
        <f t="shared" si="5"/>
        <v>R59</v>
      </c>
      <c r="F33" s="12">
        <f t="shared" si="6"/>
        <v>182.28676652207335</v>
      </c>
      <c r="G33" s="12">
        <f t="shared" si="7"/>
        <v>23.332286215406441</v>
      </c>
    </row>
    <row r="34" spans="1:7" x14ac:dyDescent="0.2">
      <c r="A34" s="6" t="s">
        <v>96</v>
      </c>
      <c r="B34" s="16">
        <v>3.6233916666666666</v>
      </c>
      <c r="C34" s="16">
        <v>0.51140833333333335</v>
      </c>
      <c r="E34" s="6" t="str">
        <f t="shared" si="5"/>
        <v>R60</v>
      </c>
      <c r="F34" s="12">
        <f t="shared" si="6"/>
        <v>301.68030728156282</v>
      </c>
      <c r="G34" s="12">
        <f t="shared" si="7"/>
        <v>36.511693213485927</v>
      </c>
    </row>
    <row r="35" spans="1:7" x14ac:dyDescent="0.2">
      <c r="A35" s="6" t="s">
        <v>97</v>
      </c>
      <c r="B35" s="16">
        <v>4.2673916666666667</v>
      </c>
      <c r="C35" s="16">
        <v>0.59390833333333337</v>
      </c>
      <c r="D35" s="15"/>
      <c r="E35" s="6" t="str">
        <f t="shared" si="5"/>
        <v>R61</v>
      </c>
      <c r="F35" s="12">
        <f t="shared" si="6"/>
        <v>355.29916380116617</v>
      </c>
      <c r="G35" s="12">
        <f t="shared" si="7"/>
        <v>42.401731552280935</v>
      </c>
    </row>
    <row r="36" spans="1:7" x14ac:dyDescent="0.2">
      <c r="A36" s="6" t="s">
        <v>98</v>
      </c>
      <c r="B36" s="16">
        <v>0.92389166666666667</v>
      </c>
      <c r="C36" s="16">
        <v>0.24170833333333336</v>
      </c>
      <c r="D36" s="15"/>
      <c r="E36" s="6" t="str">
        <f t="shared" si="5"/>
        <v>R62</v>
      </c>
      <c r="F36" s="12">
        <f t="shared" si="6"/>
        <v>76.922383097293803</v>
      </c>
      <c r="G36" s="12">
        <f t="shared" si="7"/>
        <v>17.256622425934257</v>
      </c>
    </row>
    <row r="37" spans="1:7" x14ac:dyDescent="0.2">
      <c r="A37" s="6" t="s">
        <v>99</v>
      </c>
      <c r="B37" s="16">
        <v>0.91119166666666662</v>
      </c>
      <c r="C37" s="16">
        <v>0.23680833333333337</v>
      </c>
      <c r="D37" s="15"/>
      <c r="E37" s="6" t="str">
        <f t="shared" si="5"/>
        <v>R63</v>
      </c>
      <c r="F37" s="12">
        <f t="shared" si="6"/>
        <v>75.864992603817157</v>
      </c>
      <c r="G37" s="12">
        <f t="shared" si="7"/>
        <v>16.906789845811886</v>
      </c>
    </row>
    <row r="38" spans="1:7" x14ac:dyDescent="0.2">
      <c r="A38" s="6" t="s">
        <v>100</v>
      </c>
      <c r="B38" s="16">
        <v>0.90629166666666661</v>
      </c>
      <c r="C38" s="16">
        <v>0.25030833333333335</v>
      </c>
      <c r="E38" s="6" t="str">
        <f t="shared" si="5"/>
        <v>R64</v>
      </c>
      <c r="F38" s="12">
        <f t="shared" si="6"/>
        <v>75.457023043341891</v>
      </c>
      <c r="G38" s="12">
        <f t="shared" si="7"/>
        <v>17.87061430125107</v>
      </c>
    </row>
    <row r="39" spans="1:7" x14ac:dyDescent="0.2">
      <c r="A39" s="6" t="s">
        <v>101</v>
      </c>
      <c r="B39" s="16">
        <v>0.95739166666666664</v>
      </c>
      <c r="C39" s="16">
        <v>0.29000833333333337</v>
      </c>
      <c r="E39" s="6" t="str">
        <f>A39</f>
        <v>R65</v>
      </c>
      <c r="F39" s="12">
        <f t="shared" si="6"/>
        <v>79.711562745440872</v>
      </c>
      <c r="G39" s="12">
        <f t="shared" si="7"/>
        <v>20.704972144283335</v>
      </c>
    </row>
    <row r="40" spans="1:7" x14ac:dyDescent="0.2">
      <c r="A40" s="19" t="s">
        <v>28</v>
      </c>
      <c r="B40" s="20">
        <v>-3.98E-3</v>
      </c>
      <c r="C40" s="20">
        <v>0</v>
      </c>
      <c r="E40" s="19" t="str">
        <f t="shared" ref="E40:E52" si="8">A40</f>
        <v>DIW</v>
      </c>
      <c r="F40" s="21">
        <f t="shared" si="6"/>
        <v>-0.33137119401866671</v>
      </c>
      <c r="G40" s="21">
        <f t="shared" si="7"/>
        <v>0</v>
      </c>
    </row>
    <row r="41" spans="1:7" x14ac:dyDescent="0.2">
      <c r="A41" s="19" t="s">
        <v>27</v>
      </c>
      <c r="B41" s="20">
        <v>0.92569999999999997</v>
      </c>
      <c r="C41" s="20">
        <v>5.9279999999999999E-2</v>
      </c>
      <c r="D41" s="15"/>
      <c r="E41" s="19" t="str">
        <f t="shared" si="8"/>
        <v>LNSW</v>
      </c>
      <c r="F41" s="21">
        <f t="shared" si="6"/>
        <v>77.072943292231088</v>
      </c>
      <c r="G41" s="21">
        <f t="shared" si="7"/>
        <v>4.2322602754396108</v>
      </c>
    </row>
    <row r="42" spans="1:7" x14ac:dyDescent="0.2">
      <c r="A42" s="19" t="s">
        <v>31</v>
      </c>
      <c r="B42" s="20">
        <v>0.511591666666667</v>
      </c>
      <c r="C42" s="20">
        <v>0.43680833333333335</v>
      </c>
      <c r="D42" s="15"/>
      <c r="E42" s="19" t="str">
        <f t="shared" si="8"/>
        <v>DSWR [B24,L05-24]</v>
      </c>
      <c r="F42" s="21">
        <f t="shared" si="6"/>
        <v>42.594658651591246</v>
      </c>
      <c r="G42" s="21">
        <f t="shared" si="7"/>
        <v>31.18567066713311</v>
      </c>
    </row>
    <row r="43" spans="1:7" x14ac:dyDescent="0.2">
      <c r="A43" s="6" t="s">
        <v>102</v>
      </c>
      <c r="B43" s="16">
        <v>0.86879166666666663</v>
      </c>
      <c r="C43" s="16">
        <v>0.29890833333333339</v>
      </c>
      <c r="D43" s="15"/>
      <c r="E43" s="6" t="str">
        <f t="shared" si="8"/>
        <v>R66</v>
      </c>
      <c r="F43" s="12">
        <f t="shared" si="6"/>
        <v>72.334807019296676</v>
      </c>
      <c r="G43" s="12">
        <f t="shared" si="7"/>
        <v>21.340382340832129</v>
      </c>
    </row>
    <row r="44" spans="1:7" x14ac:dyDescent="0.2">
      <c r="A44" s="6" t="s">
        <v>103</v>
      </c>
      <c r="B44" s="16">
        <v>0.92229166666666662</v>
      </c>
      <c r="C44" s="16">
        <v>0.32660833333333339</v>
      </c>
      <c r="D44" s="15"/>
      <c r="E44" s="6" t="str">
        <f t="shared" si="8"/>
        <v>R67</v>
      </c>
      <c r="F44" s="12">
        <f t="shared" si="6"/>
        <v>76.789168546934533</v>
      </c>
      <c r="G44" s="12">
        <f t="shared" si="7"/>
        <v>23.318007334585118</v>
      </c>
    </row>
    <row r="45" spans="1:7" x14ac:dyDescent="0.2">
      <c r="A45" s="6" t="s">
        <v>104</v>
      </c>
      <c r="B45" s="16">
        <v>0.91739166666666661</v>
      </c>
      <c r="C45" s="16">
        <v>0.33470833333333339</v>
      </c>
      <c r="D45" s="15"/>
      <c r="E45" s="6" t="str">
        <f t="shared" si="8"/>
        <v>R68</v>
      </c>
      <c r="F45" s="12">
        <f t="shared" si="6"/>
        <v>76.381198986459282</v>
      </c>
      <c r="G45" s="12">
        <f t="shared" si="7"/>
        <v>23.896302007848629</v>
      </c>
    </row>
    <row r="46" spans="1:7" x14ac:dyDescent="0.2">
      <c r="A46" s="6" t="s">
        <v>105</v>
      </c>
      <c r="B46" s="16">
        <v>0.98539166666666667</v>
      </c>
      <c r="C46" s="16">
        <v>0.33320833333333338</v>
      </c>
      <c r="D46" s="15"/>
      <c r="E46" s="6" t="str">
        <f t="shared" si="8"/>
        <v>R69</v>
      </c>
      <c r="F46" s="12">
        <f t="shared" si="6"/>
        <v>82.042817376727967</v>
      </c>
      <c r="G46" s="12">
        <f t="shared" si="7"/>
        <v>23.78921040168872</v>
      </c>
    </row>
    <row r="47" spans="1:7" x14ac:dyDescent="0.2">
      <c r="A47" s="6" t="s">
        <v>106</v>
      </c>
      <c r="B47" s="16">
        <v>0.94839166666666652</v>
      </c>
      <c r="C47" s="16">
        <v>0.42810833333333337</v>
      </c>
      <c r="E47" s="6" t="str">
        <f t="shared" si="8"/>
        <v>R70</v>
      </c>
      <c r="F47" s="12">
        <f t="shared" si="6"/>
        <v>78.962230899670004</v>
      </c>
      <c r="G47" s="12">
        <f t="shared" si="7"/>
        <v>30.564539351405639</v>
      </c>
    </row>
    <row r="48" spans="1:7" x14ac:dyDescent="0.2">
      <c r="A48" s="6" t="s">
        <v>107</v>
      </c>
      <c r="B48" s="16">
        <v>0.9042916666666666</v>
      </c>
      <c r="C48" s="16">
        <v>0.66440833333333338</v>
      </c>
      <c r="E48" s="6" t="str">
        <f t="shared" si="8"/>
        <v>R71</v>
      </c>
      <c r="F48" s="12">
        <f t="shared" si="6"/>
        <v>75.290504855392825</v>
      </c>
      <c r="G48" s="12">
        <f t="shared" si="7"/>
        <v>47.435037041796662</v>
      </c>
    </row>
    <row r="49" spans="1:7" x14ac:dyDescent="0.2">
      <c r="A49" s="6" t="s">
        <v>108</v>
      </c>
      <c r="B49" s="16">
        <v>0.89719166666666661</v>
      </c>
      <c r="C49" s="16">
        <v>0.92400833333333332</v>
      </c>
      <c r="E49" s="6" t="str">
        <f t="shared" si="8"/>
        <v>R72</v>
      </c>
      <c r="F49" s="12">
        <f t="shared" si="6"/>
        <v>74.699365288173595</v>
      </c>
      <c r="G49" s="12">
        <f t="shared" si="7"/>
        <v>65.96902434787161</v>
      </c>
    </row>
    <row r="50" spans="1:7" x14ac:dyDescent="0.2">
      <c r="A50" s="19" t="s">
        <v>28</v>
      </c>
      <c r="B50" s="20">
        <v>-9.4400000000000005E-3</v>
      </c>
      <c r="C50" s="20">
        <v>0</v>
      </c>
      <c r="E50" s="19" t="str">
        <f t="shared" si="8"/>
        <v>DIW</v>
      </c>
      <c r="F50" s="21">
        <f t="shared" si="6"/>
        <v>-0.78596584711965167</v>
      </c>
      <c r="G50" s="21">
        <f t="shared" si="7"/>
        <v>0</v>
      </c>
    </row>
    <row r="51" spans="1:7" x14ac:dyDescent="0.2">
      <c r="A51" s="19" t="s">
        <v>27</v>
      </c>
      <c r="B51" s="20">
        <v>0.91959999999999997</v>
      </c>
      <c r="C51" s="20">
        <v>6.021E-2</v>
      </c>
      <c r="D51" s="15"/>
      <c r="E51" s="19" t="str">
        <f t="shared" si="8"/>
        <v>LNSW</v>
      </c>
      <c r="F51" s="21">
        <f t="shared" si="6"/>
        <v>76.565062818986391</v>
      </c>
      <c r="G51" s="21">
        <f t="shared" si="7"/>
        <v>4.2986570712587548</v>
      </c>
    </row>
    <row r="52" spans="1:7" x14ac:dyDescent="0.2">
      <c r="A52" s="19" t="s">
        <v>34</v>
      </c>
      <c r="B52" s="20">
        <v>0.51059166666666667</v>
      </c>
      <c r="C52" s="20">
        <v>0.44080833333333336</v>
      </c>
      <c r="D52" s="15"/>
      <c r="E52" s="19" t="str">
        <f t="shared" si="8"/>
        <v>DSWR [B24, L05-24]</v>
      </c>
      <c r="F52" s="21">
        <f t="shared" si="6"/>
        <v>42.511399557616677</v>
      </c>
      <c r="G52" s="21">
        <f t="shared" si="7"/>
        <v>31.471248283559536</v>
      </c>
    </row>
  </sheetData>
  <mergeCells count="4">
    <mergeCell ref="D1:G2"/>
    <mergeCell ref="D3:G3"/>
    <mergeCell ref="D4:G4"/>
    <mergeCell ref="F6:H9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finalResultsImport</vt:lpstr>
      <vt:lpstr>Final Results</vt:lpstr>
      <vt:lpstr>Run File 05.20.26</vt:lpstr>
      <vt:lpstr>Run File 05.26.26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SLAB</dc:creator>
  <cp:lastModifiedBy>Zachary Quinlan</cp:lastModifiedBy>
  <dcterms:created xsi:type="dcterms:W3CDTF">2020-10-19T22:59:09Z</dcterms:created>
  <dcterms:modified xsi:type="dcterms:W3CDTF">2026-06-10T14:48:49Z</dcterms:modified>
</cp:coreProperties>
</file>