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<sst xmlns="http://schemas.openxmlformats.org/spreadsheetml/2006/main" count="939" uniqueCount="388">
  <si>
    <t>Sample</t>
  </si>
  <si>
    <t>Running name</t>
  </si>
  <si>
    <t>Timepoint</t>
  </si>
  <si>
    <t>Tube Name</t>
  </si>
  <si>
    <t>Volume(uL)</t>
  </si>
  <si>
    <t>Include_Vol(ul)</t>
  </si>
  <si>
    <t>Dilution</t>
  </si>
  <si>
    <t>HetBact_Events</t>
  </si>
  <si>
    <t>Prochlorococcus_Events</t>
  </si>
  <si>
    <t>Synechococcus_Events</t>
  </si>
  <si>
    <t>PicoEuks_Events</t>
  </si>
  <si>
    <t>HetBact_Events/uL</t>
  </si>
  <si>
    <t>Prochlorococcus_Events/uL</t>
  </si>
  <si>
    <t>Synechococcus_Events/uL</t>
  </si>
  <si>
    <t>PicoEuks_Events/uL</t>
  </si>
  <si>
    <t>R_1_DRP_C_0_1_T0</t>
  </si>
  <si>
    <t>T0</t>
  </si>
  <si>
    <t>01-Well-A1</t>
  </si>
  <si>
    <t>R_10_DRP_B_0.1_2_T0</t>
  </si>
  <si>
    <t>01-Well-B2</t>
  </si>
  <si>
    <t>R_11_DRP_B_0.1_3_T0</t>
  </si>
  <si>
    <t>01-Well-C2</t>
  </si>
  <si>
    <t>R_12_DRP_0.2_1_T0</t>
  </si>
  <si>
    <t>01-Well-D2</t>
  </si>
  <si>
    <t>R_13_DRP_B_0.4_1_T0</t>
  </si>
  <si>
    <t>01-Well-E2</t>
  </si>
  <si>
    <t>R_14_DRP_B_0.5_T0</t>
  </si>
  <si>
    <t>01-Well-F2</t>
  </si>
  <si>
    <t>R_15_DRP_U_0.01_1_T0</t>
  </si>
  <si>
    <t>01-Well-G2</t>
  </si>
  <si>
    <t>R_16_DRP_U_0.01_T0</t>
  </si>
  <si>
    <t>01-Well-H2</t>
  </si>
  <si>
    <t>R_17_DRP_U_0.01_3_T0</t>
  </si>
  <si>
    <t>01-Well-A3</t>
  </si>
  <si>
    <t>R_18_U_0.05_1_T0</t>
  </si>
  <si>
    <t>01-Well-B3</t>
  </si>
  <si>
    <t>R_19_DRP_U_0.075_1_T0</t>
  </si>
  <si>
    <t>01-Well-C3(1)</t>
  </si>
  <si>
    <t>R_2_DRP_C_0_2_T0</t>
  </si>
  <si>
    <t>01-Well-B1</t>
  </si>
  <si>
    <t>R_20_DRP_U_0.1_1_T0</t>
  </si>
  <si>
    <t>01-Well-D3</t>
  </si>
  <si>
    <t>R_21_DRP_U_0.1_2_T0</t>
  </si>
  <si>
    <t>01-Well-E3</t>
  </si>
  <si>
    <t>R_22_DRP_U_0.1_3_T0</t>
  </si>
  <si>
    <t>01-Well-F3</t>
  </si>
  <si>
    <t>R_23_DRP_U_0.2_1_T0</t>
  </si>
  <si>
    <t>01-Well-G3</t>
  </si>
  <si>
    <t>R_24_DRP_U_0.4_T0</t>
  </si>
  <si>
    <t>01-Well-H3</t>
  </si>
  <si>
    <t>R_25_DRP_U_0.5_1_T0</t>
  </si>
  <si>
    <t>01-Well-A4</t>
  </si>
  <si>
    <t>R_26_DRP_I_0.01_1_T0</t>
  </si>
  <si>
    <t>01-Well-B4</t>
  </si>
  <si>
    <t>R_27_DRP_I_0.01_2_T0</t>
  </si>
  <si>
    <t>01-Well-C4</t>
  </si>
  <si>
    <t>R_28_DRP_I_0.01_3_T0</t>
  </si>
  <si>
    <t>01-Well-D4</t>
  </si>
  <si>
    <t>R_29_DRP_I_0.05_1_T0</t>
  </si>
  <si>
    <t>01-Well-E4</t>
  </si>
  <si>
    <t>R_3_DRP_C_0_3_T0</t>
  </si>
  <si>
    <t>01-Well-C1</t>
  </si>
  <si>
    <t>R_30_DRP_I_0.075_1_T0</t>
  </si>
  <si>
    <t>01-Well-F4</t>
  </si>
  <si>
    <t>R_31_DRP_I_0.1_1_T0</t>
  </si>
  <si>
    <t>01-Well-G4</t>
  </si>
  <si>
    <t>R_32_DRP_I_0.1_2_T0</t>
  </si>
  <si>
    <t>01-Well-H4</t>
  </si>
  <si>
    <t>R_33_DRP_I_0.1_3_T0</t>
  </si>
  <si>
    <t>01-Well-A5</t>
  </si>
  <si>
    <t>R_34_DRP_I_0.2_1_T0</t>
  </si>
  <si>
    <t>01-Well-B5</t>
  </si>
  <si>
    <t>R_35_DRP_I_0.4_1_T0</t>
  </si>
  <si>
    <t>01-Well-C5</t>
  </si>
  <si>
    <t>R_36_DRP_I_0.5_1_T0</t>
  </si>
  <si>
    <t>01-Well-D5</t>
  </si>
  <si>
    <t>R_4_DRP_B_0.01_1_T0</t>
  </si>
  <si>
    <t>01-Well-D1</t>
  </si>
  <si>
    <t>R_5_DRP_B_0.01_2_T0</t>
  </si>
  <si>
    <t>01-Well-E1</t>
  </si>
  <si>
    <t>R_6_DRP_B_0.01_3_T0</t>
  </si>
  <si>
    <t>01-Well-F1</t>
  </si>
  <si>
    <t>R_7_DRP_B_0.05_1_T0</t>
  </si>
  <si>
    <t>01-Well-G1</t>
  </si>
  <si>
    <t>R_8_DRP_B_0.075_1_T0</t>
  </si>
  <si>
    <t>01-Well-H1</t>
  </si>
  <si>
    <t>R_9_DRP_B_0.1_1_T0</t>
  </si>
  <si>
    <t>01-Well-A2</t>
  </si>
  <si>
    <t>37_DRP_C_0_1_T1</t>
  </si>
  <si>
    <t>T1</t>
  </si>
  <si>
    <t>01-Well-E5</t>
  </si>
  <si>
    <t>38_DRP_C_0_2_T1</t>
  </si>
  <si>
    <t>01-Well-F5</t>
  </si>
  <si>
    <t>39_DRP_C_0_3_T1</t>
  </si>
  <si>
    <t>01-Well-G5</t>
  </si>
  <si>
    <t>40_DRP_B_0.01_1_T1</t>
  </si>
  <si>
    <t>01-Well-H5</t>
  </si>
  <si>
    <t>41_DRP_B_0.01_2_T1</t>
  </si>
  <si>
    <t>01-Well-A6</t>
  </si>
  <si>
    <t>42_DRP_B_0.01_3_T1</t>
  </si>
  <si>
    <t>01-Well-B6</t>
  </si>
  <si>
    <t>43_DRP_B_0.05_1_T1</t>
  </si>
  <si>
    <t>01-Well-C6</t>
  </si>
  <si>
    <t>44_DRP_B_0.075_1_T1</t>
  </si>
  <si>
    <t>01-Well-D6</t>
  </si>
  <si>
    <t>45_DRP_B_0.1_1_T1</t>
  </si>
  <si>
    <t>01-Well-E6</t>
  </si>
  <si>
    <t>46_DRP_B_0.1_2_T1</t>
  </si>
  <si>
    <t>01-Well-F6</t>
  </si>
  <si>
    <t>47_DRP_B_0.1_3_T1</t>
  </si>
  <si>
    <t>01-Well-G6</t>
  </si>
  <si>
    <t>48_DRP_B_0.2_1_T1</t>
  </si>
  <si>
    <t>48_DRP_B_0.2_1_T1_dil</t>
  </si>
  <si>
    <t>02-Well-E5</t>
  </si>
  <si>
    <t>49_DRP_B_0.4_1_T1</t>
  </si>
  <si>
    <t>01-Well-A7</t>
  </si>
  <si>
    <t>49_DRP_B_0.4_1_T1_dil</t>
  </si>
  <si>
    <t>02-Well-A4(1)</t>
  </si>
  <si>
    <t>50_DRP_B_0.5_1_T1</t>
  </si>
  <si>
    <t>50_DRP_B_0.5_1_T1_dil</t>
  </si>
  <si>
    <t>02-Well-B4</t>
  </si>
  <si>
    <t>51_DRP_U_0.01_1_T1</t>
  </si>
  <si>
    <t>01-Well-C7</t>
  </si>
  <si>
    <t>52_DRP_U_0.01_2_T1</t>
  </si>
  <si>
    <t>01-Well-D7</t>
  </si>
  <si>
    <t>53_DRP_U_0.01_3_T1</t>
  </si>
  <si>
    <t>01-Well-E7</t>
  </si>
  <si>
    <t>54_DRP_U_0.05_1_T1</t>
  </si>
  <si>
    <t>01-Well-F7</t>
  </si>
  <si>
    <t>55_DRP_U_0.075_1_T1</t>
  </si>
  <si>
    <t>01-Well-G7</t>
  </si>
  <si>
    <t>56_DRP_U_0.1_1_T1</t>
  </si>
  <si>
    <t>01-Well-H7</t>
  </si>
  <si>
    <t>57_DRP_U_0.1_2_T1</t>
  </si>
  <si>
    <t>01-Well-A8</t>
  </si>
  <si>
    <t>58_DRP_U_0.1_3_T1</t>
  </si>
  <si>
    <t>01-Well-B8</t>
  </si>
  <si>
    <t>59_DRP_U_0.2_1_T1</t>
  </si>
  <si>
    <t>59_DRP_U_0.2_1_T1_dil</t>
  </si>
  <si>
    <t>02-Well-D5</t>
  </si>
  <si>
    <t>60_DRP_U_0.4_1_T1</t>
  </si>
  <si>
    <t>60_DRP_U_0.4_1_T1_dil</t>
  </si>
  <si>
    <t>02-Well-C4</t>
  </si>
  <si>
    <t>61_DRP_U_0.5_1_T1</t>
  </si>
  <si>
    <t>61_DRP_U_0.5_1_T1_dil</t>
  </si>
  <si>
    <t>02-Well-D4</t>
  </si>
  <si>
    <t>62_DRP_1_0.01_1_T1</t>
  </si>
  <si>
    <t>01-Well-F8</t>
  </si>
  <si>
    <t>63_DRP_I_0.01_2_T1</t>
  </si>
  <si>
    <t>01-Well-G8</t>
  </si>
  <si>
    <t>64_DRP_I_0.01_3_T1</t>
  </si>
  <si>
    <t>01-Well-H8</t>
  </si>
  <si>
    <t>65_DRP_I_0.05_1_T1</t>
  </si>
  <si>
    <t>01-Well-A9</t>
  </si>
  <si>
    <t>66_DRP_I_0.075_1_T1</t>
  </si>
  <si>
    <t>01-Well-B9</t>
  </si>
  <si>
    <t>67_DRP_I_0.1_1_T1</t>
  </si>
  <si>
    <t>01-Well-C9</t>
  </si>
  <si>
    <t>68_DRP_I_0.1_2_T1</t>
  </si>
  <si>
    <t>01-Well-D9</t>
  </si>
  <si>
    <t>69_DRP_I_0.1_3_T1</t>
  </si>
  <si>
    <t>01-Well-E9</t>
  </si>
  <si>
    <t>70_DRP_I_0.2_1_T1</t>
  </si>
  <si>
    <t>01-Well-F9</t>
  </si>
  <si>
    <t>71_DRP_I_0.4_1_T1</t>
  </si>
  <si>
    <t>01-Well-G9</t>
  </si>
  <si>
    <t>72_DRP_I_0.5_1_T1</t>
  </si>
  <si>
    <t>01-Well-H9</t>
  </si>
  <si>
    <t>37_DRP_C_0_1_T2</t>
  </si>
  <si>
    <t>T2</t>
  </si>
  <si>
    <t>01-Well-A10</t>
  </si>
  <si>
    <t>38_DRP_C_0_2_T2</t>
  </si>
  <si>
    <t>01-Well-B10</t>
  </si>
  <si>
    <t>39_DRP_C_0_3_T2</t>
  </si>
  <si>
    <t>01-Well-C10</t>
  </si>
  <si>
    <t>40_DRP_B_0.01_1_T2</t>
  </si>
  <si>
    <t>01-Well-D10</t>
  </si>
  <si>
    <t>41_DRP_B_0.01_2_T2</t>
  </si>
  <si>
    <t>01-Well-E10</t>
  </si>
  <si>
    <t>42_DRP_B_0.01_3_T2</t>
  </si>
  <si>
    <t>01-Well-F10</t>
  </si>
  <si>
    <t>43_DRP_B_0.05_1_T2</t>
  </si>
  <si>
    <t>01-Well-G10</t>
  </si>
  <si>
    <t>44_DRP_B_0.075_1_T2</t>
  </si>
  <si>
    <t>01-Well-H10</t>
  </si>
  <si>
    <t>45_DRP_B_0.1_1_T2</t>
  </si>
  <si>
    <t>01-Well-A11</t>
  </si>
  <si>
    <t>46_DRP_B_0.1_2_T2</t>
  </si>
  <si>
    <t>01-Well-B11</t>
  </si>
  <si>
    <t>47_DRP_B_0.1_3_T2</t>
  </si>
  <si>
    <t>01-Well-C11</t>
  </si>
  <si>
    <t>48_DRP_B_0.2_1_T2</t>
  </si>
  <si>
    <t>48_DRP_B_0.2_1_T2_dil</t>
  </si>
  <si>
    <t>02-Well-A5</t>
  </si>
  <si>
    <t>49_DRP_B_0.4_1_T2</t>
  </si>
  <si>
    <t>49_DRP_B_0.4_1_T2_dil</t>
  </si>
  <si>
    <t>02-Well-E4</t>
  </si>
  <si>
    <t>50_DRP_B_0.5_1_T2</t>
  </si>
  <si>
    <t>50_DRP_B_0.5_1_T2_dil</t>
  </si>
  <si>
    <t>02-Well-F4</t>
  </si>
  <si>
    <t>51_DRP_B_0.01_1_T2</t>
  </si>
  <si>
    <t>01-Well-G11</t>
  </si>
  <si>
    <t>52_DRP_U_0.01_2_T2</t>
  </si>
  <si>
    <t>01-Well-H11</t>
  </si>
  <si>
    <t>53_DRP_U_0.01_3_T2</t>
  </si>
  <si>
    <t>01-Well-A12</t>
  </si>
  <si>
    <t>54_DRP_U_0.05_1_T2</t>
  </si>
  <si>
    <t>01-Well-B12</t>
  </si>
  <si>
    <t>55_DRP_U_0.075_1_T2</t>
  </si>
  <si>
    <t>02-Well-A1</t>
  </si>
  <si>
    <t>56_DRP_U_0.1_1_T2</t>
  </si>
  <si>
    <t>02-Well-B1</t>
  </si>
  <si>
    <t>57_DRP_U_0.1_2_T2</t>
  </si>
  <si>
    <t>02-Well-C1</t>
  </si>
  <si>
    <t>58_DRP_U_0.1_3_T2</t>
  </si>
  <si>
    <t>02-Well-D1</t>
  </si>
  <si>
    <t>59_DRP_U_0.2_1_T2</t>
  </si>
  <si>
    <t>59_DRP_U_0.2_1_T2_dil</t>
  </si>
  <si>
    <t>02-Well-B5</t>
  </si>
  <si>
    <t>60_DRP_U_0.4_1_T2</t>
  </si>
  <si>
    <t>60_DRP_U_0.4_1_T2_dil</t>
  </si>
  <si>
    <t>02-Well-C5</t>
  </si>
  <si>
    <t>02-Well-G4</t>
  </si>
  <si>
    <t>63_DRP_I_0.01_2_T2</t>
  </si>
  <si>
    <t>02-Well-A2</t>
  </si>
  <si>
    <t>64_DRP_I_0.01_3_T2</t>
  </si>
  <si>
    <t>02-Well-B2(1)</t>
  </si>
  <si>
    <t>65_DRP_I_0.05_1_T2</t>
  </si>
  <si>
    <t>02-Well-C2</t>
  </si>
  <si>
    <t>66_DRP_I_0.075_1_T2</t>
  </si>
  <si>
    <t>02-Well-D2</t>
  </si>
  <si>
    <t>67_DRP_I_0.1_1_T2</t>
  </si>
  <si>
    <t>02-Well-E2</t>
  </si>
  <si>
    <t>68_DRP_I_0.1_2_T2</t>
  </si>
  <si>
    <t>02-Well-F2</t>
  </si>
  <si>
    <t>69_DRP_I_0.1_3_T2</t>
  </si>
  <si>
    <t>02-Well-G2</t>
  </si>
  <si>
    <t>70_DRP_I_0.2_1_T2</t>
  </si>
  <si>
    <t>02-Well-H2</t>
  </si>
  <si>
    <t>71_DRP_I_0.4_1_T2</t>
  </si>
  <si>
    <t>02-Well-A3</t>
  </si>
  <si>
    <t>72_DRP_I_0.5_1_T2</t>
  </si>
  <si>
    <t>02-Well-B3</t>
  </si>
  <si>
    <t>37_DRP_C_0_1_T3</t>
  </si>
  <si>
    <t>T3</t>
  </si>
  <si>
    <t>02-Well-C3</t>
  </si>
  <si>
    <t>38_DRP_C_0_2_T3</t>
  </si>
  <si>
    <t>02-Well-D3</t>
  </si>
  <si>
    <t>39_DRP_C_0_3_T3</t>
  </si>
  <si>
    <t>02-Well-E3</t>
  </si>
  <si>
    <t>40_DRP_B_0.01_1_T3</t>
  </si>
  <si>
    <t>02-Well-F3</t>
  </si>
  <si>
    <t>41_DRP_B_0.01_2_T3</t>
  </si>
  <si>
    <t>42_DRP_B_0.01_3_T3</t>
  </si>
  <si>
    <t>43_DRP_B_0.05_1_T3</t>
  </si>
  <si>
    <t>44_DRP_B_0.075_1_T3</t>
  </si>
  <si>
    <t>45_DRP_B_0.1_1_T3</t>
  </si>
  <si>
    <t>46_DRP_B_0.1_2_T3</t>
  </si>
  <si>
    <t>47_DRP_B_0.1_3_T3</t>
  </si>
  <si>
    <t>48_DRP_B_0.2_1_T3</t>
  </si>
  <si>
    <t>49_DRP_B_0.4_1_T3</t>
  </si>
  <si>
    <t>50_DRP_B_0.5_1_T3</t>
  </si>
  <si>
    <t>51_DRP_U_0.01_1_T3</t>
  </si>
  <si>
    <t>52_DRP_U_0.01_2_T3</t>
  </si>
  <si>
    <t>53_DRP_U_0.01_3_T3</t>
  </si>
  <si>
    <t>54_DRP_U_0.05_1_T3</t>
  </si>
  <si>
    <t>55_DRP_U_0.075_1_T3</t>
  </si>
  <si>
    <t>56_DRP_U_0.1_1_T3</t>
  </si>
  <si>
    <t>57_DRP_U_0.1_2_T3</t>
  </si>
  <si>
    <t>58_DRP_U_0.1_3_T3</t>
  </si>
  <si>
    <t>59_DRP_U_0.2_1_T3</t>
  </si>
  <si>
    <t>01-Well-C3</t>
  </si>
  <si>
    <t>60_DRP_U_0.4_1_T3</t>
  </si>
  <si>
    <t>61_DRP_U_0.5_1_T3</t>
  </si>
  <si>
    <t>62_DRP_I_0.01_1_T3</t>
  </si>
  <si>
    <t>62_DRP_U_0.01_1_T2</t>
  </si>
  <si>
    <t>02-Well-G3</t>
  </si>
  <si>
    <t>63_DRP_I_0.01_2_T3</t>
  </si>
  <si>
    <t>64_DRP_I_0.01_3_T3</t>
  </si>
  <si>
    <t>65_DRP_I_0.05_1_T3</t>
  </si>
  <si>
    <t>66_DRP_I_0.075_1_T3</t>
  </si>
  <si>
    <t>67_DRP_I_0.1_1_T3</t>
  </si>
  <si>
    <t>68_DRP_I_0.1_2_T3</t>
  </si>
  <si>
    <t>69_DRP_I_0.1_3_T3</t>
  </si>
  <si>
    <t>70_DRP_I_0.2_1_T3</t>
  </si>
  <si>
    <t>71_DRP_I_0.4_1_T3</t>
  </si>
  <si>
    <t>72_DRP_I_0.5_1_T3</t>
  </si>
  <si>
    <t>37_DRP_C_0_1_T4</t>
  </si>
  <si>
    <t>T4</t>
  </si>
  <si>
    <t>38_DRP_C_0_2_T4</t>
  </si>
  <si>
    <t>39_DRP_C_0_3_T4</t>
  </si>
  <si>
    <t>40_DRP_B_0.01_1_T4</t>
  </si>
  <si>
    <t>41_DRP_B_0.01_2_T4</t>
  </si>
  <si>
    <t>42_DRP_B_0.01_3_T4</t>
  </si>
  <si>
    <t>43_DRP_B_0.05_1_T4</t>
  </si>
  <si>
    <t>44_DRP_B_0.075_1_T4</t>
  </si>
  <si>
    <t>45_DRP_B_0.1_1_T4</t>
  </si>
  <si>
    <t>46_DRP_B_0.1_2_T4</t>
  </si>
  <si>
    <t>47_DRP_B_0.1_3_T4</t>
  </si>
  <si>
    <t>48_DRP_B_0.2_1_T4</t>
  </si>
  <si>
    <t>49_DRP_B_0.4_1_T4</t>
  </si>
  <si>
    <t>50_DRP_B_0.5_1_T4</t>
  </si>
  <si>
    <t>51_DRP_U_0.01_1_T4</t>
  </si>
  <si>
    <t>52_DRP_U_0.01_2_T4</t>
  </si>
  <si>
    <t>01-Well-H6</t>
  </si>
  <si>
    <t>53_DRP_U_0.01_3_T4</t>
  </si>
  <si>
    <t>54_DRP_U_0.05_1_T4</t>
  </si>
  <si>
    <t>01-Well-B7</t>
  </si>
  <si>
    <t>55_DRP_U_0.075_1_T4</t>
  </si>
  <si>
    <t>56_DRP_U_0.1_1_T4</t>
  </si>
  <si>
    <t>57_DRP_U_0.1_2_T4</t>
  </si>
  <si>
    <t>58_DRP_U_0.1_3_T4</t>
  </si>
  <si>
    <t>59_DRP_U_0.2_1_T4</t>
  </si>
  <si>
    <t>60_DRP_U_0.4_1_T4</t>
  </si>
  <si>
    <t>61__DRP_U_0.5_1_T4</t>
  </si>
  <si>
    <t>62_DRP_I_0.01_1_T4</t>
  </si>
  <si>
    <t>63_DRP_I_0.01_2_T4</t>
  </si>
  <si>
    <t>01-Well-C8</t>
  </si>
  <si>
    <t>64_DRP_I_0.01_3_T4</t>
  </si>
  <si>
    <t>01-Well-D8</t>
  </si>
  <si>
    <t>65_DRP_I_0.05_1_T4</t>
  </si>
  <si>
    <t>01-Well-E8</t>
  </si>
  <si>
    <t>66_DRP_I_0.075_1_T4</t>
  </si>
  <si>
    <t>67_DRP_I_0.1_1_T4</t>
  </si>
  <si>
    <t>68_DRP_I_0.1_2_T4</t>
  </si>
  <si>
    <t>69_DRP_I_0.1_3_T4</t>
  </si>
  <si>
    <t>70_DRP_I_0.2_1_T4</t>
  </si>
  <si>
    <t>71_DRP_I_0.4_1_T4</t>
  </si>
  <si>
    <t>72_DRP_I_0.5_1_T4</t>
  </si>
  <si>
    <t>T5</t>
  </si>
  <si>
    <t>37_DRP_C_0_1_T5</t>
  </si>
  <si>
    <t>38_DRP_C_0_2_T5</t>
  </si>
  <si>
    <t>39_DRP_C_0_3_T5</t>
  </si>
  <si>
    <t>40_DRP_B_0.01_1_T5</t>
  </si>
  <si>
    <t>41_DRP_B_0.01_2_T5</t>
  </si>
  <si>
    <t>48_DRP_B_0.2_1_T5</t>
  </si>
  <si>
    <t>49_DRP_B_0.4_1_T5</t>
  </si>
  <si>
    <t>50_DRP_B_0.5_1_T5</t>
  </si>
  <si>
    <t>01-Well-D11</t>
  </si>
  <si>
    <t>01-Well-E11</t>
  </si>
  <si>
    <t>01-Well-F11</t>
  </si>
  <si>
    <t>R_37_DRP_C_0_1_TF</t>
  </si>
  <si>
    <t>TF</t>
  </si>
  <si>
    <t>R_38_DRP_C_0_2_TF</t>
  </si>
  <si>
    <t>R_39_DRP_C_0_3_TF</t>
  </si>
  <si>
    <t>R_40_DRP_B_0.01_1_TF</t>
  </si>
  <si>
    <t>R_41_DRP_B_0.01_2_TF</t>
  </si>
  <si>
    <t>R_42_DRP_B_0.01_3_TF</t>
  </si>
  <si>
    <t>R_43_DRP_B_0.05_1_TF</t>
  </si>
  <si>
    <t>R_44_DRP_B_0.075_1_TF</t>
  </si>
  <si>
    <t>R_45_DRP_B_0.1_1_TF</t>
  </si>
  <si>
    <t>R_46_DRP_B_0.1_2_TF</t>
  </si>
  <si>
    <t>R_47_DRP_B_0.1_3_TF</t>
  </si>
  <si>
    <t>R_48_DRP_B_0.2_1_TF</t>
  </si>
  <si>
    <t>R_48_DRP_B_0.2_1_TF_dil</t>
  </si>
  <si>
    <t>R_49_DRP_B_0.4_1_TF</t>
  </si>
  <si>
    <t>R_49_DRP_B_0.4_1_TF_dil</t>
  </si>
  <si>
    <t>R_50_DRP_B_.0.5_1_TF</t>
  </si>
  <si>
    <t>R_50_DRP_B_.0.5_1_TF_dil</t>
  </si>
  <si>
    <t>R_51_DRP_U_0.01_1_TF</t>
  </si>
  <si>
    <t>R_52_DRP_U_0.01_2_TF</t>
  </si>
  <si>
    <t>R_53_DRP_U_0.01_3_TF</t>
  </si>
  <si>
    <t>R_54_DRP_U_0.05_1_TF</t>
  </si>
  <si>
    <t>R_55_DRP_U_0.075_1_TF</t>
  </si>
  <si>
    <t>R_56_DRP_U_0.1_1_TF</t>
  </si>
  <si>
    <t>R_57_DRP_U_0.1_2_TF</t>
  </si>
  <si>
    <t>R_58_DRP_U_0.1_3_TF</t>
  </si>
  <si>
    <t>R_59_DRP_U_0.2_1_TF</t>
  </si>
  <si>
    <t>R_59_DRP_U_0.2_1_TF_dil</t>
  </si>
  <si>
    <t>R_60_DRP_U_0.4_1_TF</t>
  </si>
  <si>
    <t>R_60_DRP_U_0.4_1_TF_dil</t>
  </si>
  <si>
    <t>R_61_DRP_U_0.5_1_TF</t>
  </si>
  <si>
    <t>R_61_DRP_U_0.5_1_TF_dil</t>
  </si>
  <si>
    <t>R_62_DRP_I_0.01_1_TF</t>
  </si>
  <si>
    <t>R_63_DRP_I_0.02_2_TF</t>
  </si>
  <si>
    <t>R_64_DRP_I_0.01_3_TF</t>
  </si>
  <si>
    <t>R_65_DRP_0.05_1_TF</t>
  </si>
  <si>
    <t>R_66_DRP_I_0.075_I_TF</t>
  </si>
  <si>
    <t>R_67_DRP_I_0.1_1_TF</t>
  </si>
  <si>
    <t>R_68_DRP_I_0.1_2_TF</t>
  </si>
  <si>
    <t>R_69_DRP_I_0.1_3_TF</t>
  </si>
  <si>
    <t>R_70_DRP_I_0.2_1_TF</t>
  </si>
  <si>
    <t>R_70_DRP_I_0.2_1_TF_dil</t>
  </si>
  <si>
    <t>R_71_DRP_I_0.4_I_TF</t>
  </si>
  <si>
    <t>R_71_DRP_I_0.4_I_TF_dil</t>
  </si>
  <si>
    <t>R_72_DRP_I_0.5_1_TF</t>
  </si>
  <si>
    <t>R_72_DRP_I_0.5_1_TF_dil</t>
  </si>
  <si>
    <t>01-Well-C11(1)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</si>
</sst>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3.5"/>
    <col customWidth="1" min="4" max="4" width="12.13"/>
    <col customWidth="1" min="5" max="5" width="9.5"/>
    <col customWidth="1" min="6" max="7" width="12.13"/>
    <col customWidth="1" min="8" max="8" width="13.0"/>
    <col customWidth="1" min="9" max="9" width="19.38"/>
    <col customWidth="1" min="10" max="10" width="18.75"/>
    <col customWidth="1" min="11" max="11" width="14.0"/>
    <col customWidth="1" min="12" max="12" width="15.38"/>
    <col customWidth="1" min="13" max="13" width="21.75"/>
    <col customWidth="1" min="14" max="14" width="21.13"/>
    <col customWidth="1" min="15" max="1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1" t="s">
        <v>15</v>
      </c>
      <c r="C2" s="1" t="s">
        <v>16</v>
      </c>
      <c r="D2" s="1" t="s">
        <v>17</v>
      </c>
      <c r="E2" s="1">
        <v>75.0</v>
      </c>
      <c r="F2" s="3">
        <f t="shared" ref="F2:F238" si="2">E2-15</f>
        <v>60</v>
      </c>
      <c r="H2" s="1">
        <v>20358.0</v>
      </c>
      <c r="I2" s="1">
        <v>2429.0</v>
      </c>
      <c r="J2" s="1">
        <v>278.0</v>
      </c>
      <c r="K2" s="1">
        <v>67.0</v>
      </c>
      <c r="L2" s="4">
        <f t="shared" ref="L2:O2" si="1">if($G2=0,H2/$F2,H2/$F2/$G2)</f>
        <v>339.3</v>
      </c>
      <c r="M2" s="4">
        <f t="shared" si="1"/>
        <v>40.48333333</v>
      </c>
      <c r="N2" s="4">
        <f t="shared" si="1"/>
        <v>4.633333333</v>
      </c>
      <c r="O2" s="4">
        <f t="shared" si="1"/>
        <v>1.116666667</v>
      </c>
    </row>
    <row r="3">
      <c r="A3" s="1" t="s">
        <v>18</v>
      </c>
      <c r="B3" s="1" t="s">
        <v>18</v>
      </c>
      <c r="C3" s="1" t="s">
        <v>16</v>
      </c>
      <c r="D3" s="1" t="s">
        <v>19</v>
      </c>
      <c r="E3" s="1">
        <v>75.0</v>
      </c>
      <c r="F3" s="3">
        <f t="shared" si="2"/>
        <v>60</v>
      </c>
      <c r="H3" s="1">
        <v>27833.0</v>
      </c>
      <c r="I3" s="1">
        <v>176.0</v>
      </c>
      <c r="J3" s="1">
        <v>294.0</v>
      </c>
      <c r="K3" s="1">
        <v>57.0</v>
      </c>
      <c r="L3" s="4">
        <f t="shared" ref="L3:O3" si="3">if($G3=0,H3/$F3,H3/$F3/$G3)</f>
        <v>463.8833333</v>
      </c>
      <c r="M3" s="4">
        <f t="shared" si="3"/>
        <v>2.933333333</v>
      </c>
      <c r="N3" s="4">
        <f t="shared" si="3"/>
        <v>4.9</v>
      </c>
      <c r="O3" s="4">
        <f t="shared" si="3"/>
        <v>0.95</v>
      </c>
    </row>
    <row r="4">
      <c r="A4" s="1" t="s">
        <v>20</v>
      </c>
      <c r="B4" s="1" t="s">
        <v>20</v>
      </c>
      <c r="C4" s="1" t="s">
        <v>16</v>
      </c>
      <c r="D4" s="1" t="s">
        <v>21</v>
      </c>
      <c r="E4" s="1">
        <v>75.0</v>
      </c>
      <c r="F4" s="3">
        <f t="shared" si="2"/>
        <v>60</v>
      </c>
      <c r="H4" s="1">
        <v>29407.0</v>
      </c>
      <c r="I4" s="1">
        <v>172.0</v>
      </c>
      <c r="J4" s="1">
        <v>320.0</v>
      </c>
      <c r="K4" s="1">
        <v>58.0</v>
      </c>
      <c r="L4" s="4">
        <f t="shared" ref="L4:O4" si="4">if($G4=0,H4/$F4,H4/$F4/$G4)</f>
        <v>490.1166667</v>
      </c>
      <c r="M4" s="4">
        <f t="shared" si="4"/>
        <v>2.866666667</v>
      </c>
      <c r="N4" s="4">
        <f t="shared" si="4"/>
        <v>5.333333333</v>
      </c>
      <c r="O4" s="4">
        <f t="shared" si="4"/>
        <v>0.9666666667</v>
      </c>
    </row>
    <row r="5">
      <c r="A5" s="1" t="s">
        <v>22</v>
      </c>
      <c r="B5" s="1" t="s">
        <v>22</v>
      </c>
      <c r="C5" s="1" t="s">
        <v>16</v>
      </c>
      <c r="D5" s="1" t="s">
        <v>23</v>
      </c>
      <c r="E5" s="1">
        <v>75.0</v>
      </c>
      <c r="F5" s="3">
        <f t="shared" si="2"/>
        <v>60</v>
      </c>
      <c r="H5" s="1">
        <v>29543.0</v>
      </c>
      <c r="I5" s="1">
        <v>155.0</v>
      </c>
      <c r="J5" s="1">
        <v>266.0</v>
      </c>
      <c r="K5" s="1">
        <v>60.0</v>
      </c>
      <c r="L5" s="4">
        <f t="shared" ref="L5:O5" si="5">if($G5=0,H5/$F5,H5/$F5/$G5)</f>
        <v>492.3833333</v>
      </c>
      <c r="M5" s="4">
        <f t="shared" si="5"/>
        <v>2.583333333</v>
      </c>
      <c r="N5" s="4">
        <f t="shared" si="5"/>
        <v>4.433333333</v>
      </c>
      <c r="O5" s="4">
        <f t="shared" si="5"/>
        <v>1</v>
      </c>
    </row>
    <row r="6">
      <c r="A6" s="1" t="s">
        <v>24</v>
      </c>
      <c r="B6" s="1" t="s">
        <v>24</v>
      </c>
      <c r="C6" s="1" t="s">
        <v>16</v>
      </c>
      <c r="D6" s="1" t="s">
        <v>25</v>
      </c>
      <c r="E6" s="1">
        <v>75.0</v>
      </c>
      <c r="F6" s="3">
        <f t="shared" si="2"/>
        <v>60</v>
      </c>
      <c r="H6" s="1">
        <v>35308.0</v>
      </c>
      <c r="I6" s="1">
        <v>163.0</v>
      </c>
      <c r="J6" s="1">
        <v>292.0</v>
      </c>
      <c r="K6" s="1">
        <v>49.0</v>
      </c>
      <c r="L6" s="4">
        <f t="shared" ref="L6:O6" si="6">if($G6=0,H6/$F6,H6/$F6/$G6)</f>
        <v>588.4666667</v>
      </c>
      <c r="M6" s="4">
        <f t="shared" si="6"/>
        <v>2.716666667</v>
      </c>
      <c r="N6" s="4">
        <f t="shared" si="6"/>
        <v>4.866666667</v>
      </c>
      <c r="O6" s="4">
        <f t="shared" si="6"/>
        <v>0.8166666667</v>
      </c>
    </row>
    <row r="7">
      <c r="A7" s="1" t="s">
        <v>26</v>
      </c>
      <c r="B7" s="1" t="s">
        <v>26</v>
      </c>
      <c r="C7" s="1" t="s">
        <v>16</v>
      </c>
      <c r="D7" s="1" t="s">
        <v>27</v>
      </c>
      <c r="E7" s="1">
        <v>75.0</v>
      </c>
      <c r="F7" s="3">
        <f t="shared" si="2"/>
        <v>60</v>
      </c>
      <c r="H7" s="1">
        <v>31567.0</v>
      </c>
      <c r="I7" s="1">
        <v>163.0</v>
      </c>
      <c r="J7" s="1">
        <v>318.0</v>
      </c>
      <c r="K7" s="1">
        <v>62.0</v>
      </c>
      <c r="L7" s="4">
        <f t="shared" ref="L7:O7" si="7">if($G7=0,H7/$F7,H7/$F7/$G7)</f>
        <v>526.1166667</v>
      </c>
      <c r="M7" s="4">
        <f t="shared" si="7"/>
        <v>2.716666667</v>
      </c>
      <c r="N7" s="4">
        <f t="shared" si="7"/>
        <v>5.3</v>
      </c>
      <c r="O7" s="4">
        <f t="shared" si="7"/>
        <v>1.033333333</v>
      </c>
    </row>
    <row r="8">
      <c r="A8" s="1" t="s">
        <v>28</v>
      </c>
      <c r="B8" s="1" t="s">
        <v>28</v>
      </c>
      <c r="C8" s="1" t="s">
        <v>16</v>
      </c>
      <c r="D8" s="1" t="s">
        <v>29</v>
      </c>
      <c r="E8" s="1">
        <v>75.0</v>
      </c>
      <c r="F8" s="3">
        <f t="shared" si="2"/>
        <v>60</v>
      </c>
      <c r="H8" s="1">
        <v>20322.0</v>
      </c>
      <c r="I8" s="1">
        <v>149.0</v>
      </c>
      <c r="J8" s="1">
        <v>286.0</v>
      </c>
      <c r="K8" s="1">
        <v>65.0</v>
      </c>
      <c r="L8" s="4">
        <f t="shared" ref="L8:O8" si="8">if($G8=0,H8/$F8,H8/$F8/$G8)</f>
        <v>338.7</v>
      </c>
      <c r="M8" s="4">
        <f t="shared" si="8"/>
        <v>2.483333333</v>
      </c>
      <c r="N8" s="4">
        <f t="shared" si="8"/>
        <v>4.766666667</v>
      </c>
      <c r="O8" s="4">
        <f t="shared" si="8"/>
        <v>1.083333333</v>
      </c>
    </row>
    <row r="9">
      <c r="A9" s="1" t="s">
        <v>30</v>
      </c>
      <c r="B9" s="1" t="s">
        <v>30</v>
      </c>
      <c r="C9" s="1" t="s">
        <v>16</v>
      </c>
      <c r="D9" s="1" t="s">
        <v>31</v>
      </c>
      <c r="E9" s="1">
        <v>75.0</v>
      </c>
      <c r="F9" s="3">
        <f t="shared" si="2"/>
        <v>60</v>
      </c>
      <c r="H9" s="1">
        <v>20119.0</v>
      </c>
      <c r="I9" s="1">
        <v>167.0</v>
      </c>
      <c r="J9" s="1">
        <v>281.0</v>
      </c>
      <c r="K9" s="1">
        <v>63.0</v>
      </c>
      <c r="L9" s="4">
        <f t="shared" ref="L9:O9" si="9">if($G9=0,H9/$F9,H9/$F9/$G9)</f>
        <v>335.3166667</v>
      </c>
      <c r="M9" s="4">
        <f t="shared" si="9"/>
        <v>2.783333333</v>
      </c>
      <c r="N9" s="4">
        <f t="shared" si="9"/>
        <v>4.683333333</v>
      </c>
      <c r="O9" s="4">
        <f t="shared" si="9"/>
        <v>1.05</v>
      </c>
    </row>
    <row r="10">
      <c r="A10" s="1" t="s">
        <v>32</v>
      </c>
      <c r="B10" s="1" t="s">
        <v>32</v>
      </c>
      <c r="C10" s="1" t="s">
        <v>16</v>
      </c>
      <c r="D10" s="1" t="s">
        <v>33</v>
      </c>
      <c r="E10" s="1">
        <v>75.0</v>
      </c>
      <c r="F10" s="3">
        <f t="shared" si="2"/>
        <v>60</v>
      </c>
      <c r="H10" s="1">
        <v>19580.0</v>
      </c>
      <c r="I10" s="1">
        <v>82.0</v>
      </c>
      <c r="J10" s="1">
        <v>288.0</v>
      </c>
      <c r="K10" s="1">
        <v>62.0</v>
      </c>
      <c r="L10" s="4">
        <f t="shared" ref="L10:O10" si="10">if($G10=0,H10/$F10,H10/$F10/$G10)</f>
        <v>326.3333333</v>
      </c>
      <c r="M10" s="4">
        <f t="shared" si="10"/>
        <v>1.366666667</v>
      </c>
      <c r="N10" s="4">
        <f t="shared" si="10"/>
        <v>4.8</v>
      </c>
      <c r="O10" s="4">
        <f t="shared" si="10"/>
        <v>1.033333333</v>
      </c>
    </row>
    <row r="11">
      <c r="A11" s="1" t="s">
        <v>34</v>
      </c>
      <c r="B11" s="1" t="s">
        <v>34</v>
      </c>
      <c r="C11" s="1" t="s">
        <v>16</v>
      </c>
      <c r="D11" s="1" t="s">
        <v>35</v>
      </c>
      <c r="E11" s="1">
        <v>75.0</v>
      </c>
      <c r="F11" s="3">
        <f t="shared" si="2"/>
        <v>60</v>
      </c>
      <c r="H11" s="1">
        <v>19894.0</v>
      </c>
      <c r="I11" s="1">
        <v>143.0</v>
      </c>
      <c r="J11" s="1">
        <v>299.0</v>
      </c>
      <c r="K11" s="1">
        <v>56.0</v>
      </c>
      <c r="L11" s="4">
        <f t="shared" ref="L11:O11" si="11">if($G11=0,H11/$F11,H11/$F11/$G11)</f>
        <v>331.5666667</v>
      </c>
      <c r="M11" s="4">
        <f t="shared" si="11"/>
        <v>2.383333333</v>
      </c>
      <c r="N11" s="4">
        <f t="shared" si="11"/>
        <v>4.983333333</v>
      </c>
      <c r="O11" s="4">
        <f t="shared" si="11"/>
        <v>0.9333333333</v>
      </c>
    </row>
    <row r="12">
      <c r="A12" s="1" t="s">
        <v>36</v>
      </c>
      <c r="B12" s="1" t="s">
        <v>36</v>
      </c>
      <c r="C12" s="1" t="s">
        <v>16</v>
      </c>
      <c r="D12" s="1" t="s">
        <v>37</v>
      </c>
      <c r="E12" s="1">
        <v>75.0</v>
      </c>
      <c r="F12" s="3">
        <f t="shared" si="2"/>
        <v>60</v>
      </c>
      <c r="H12" s="1">
        <v>19805.0</v>
      </c>
      <c r="I12" s="1">
        <v>142.0</v>
      </c>
      <c r="J12" s="1">
        <v>287.0</v>
      </c>
      <c r="K12" s="1">
        <v>69.0</v>
      </c>
      <c r="L12" s="4">
        <f t="shared" ref="L12:O12" si="12">if($G12=0,H12/$F12,H12/$F12/$G12)</f>
        <v>330.0833333</v>
      </c>
      <c r="M12" s="4">
        <f t="shared" si="12"/>
        <v>2.366666667</v>
      </c>
      <c r="N12" s="4">
        <f t="shared" si="12"/>
        <v>4.783333333</v>
      </c>
      <c r="O12" s="4">
        <f t="shared" si="12"/>
        <v>1.15</v>
      </c>
    </row>
    <row r="13">
      <c r="A13" s="1" t="s">
        <v>38</v>
      </c>
      <c r="B13" s="1" t="s">
        <v>38</v>
      </c>
      <c r="C13" s="1" t="s">
        <v>16</v>
      </c>
      <c r="D13" s="1" t="s">
        <v>39</v>
      </c>
      <c r="E13" s="1">
        <v>75.0</v>
      </c>
      <c r="F13" s="3">
        <f t="shared" si="2"/>
        <v>60</v>
      </c>
      <c r="H13" s="1">
        <v>23916.0</v>
      </c>
      <c r="I13" s="1">
        <v>1228.0</v>
      </c>
      <c r="J13" s="1">
        <v>291.0</v>
      </c>
      <c r="K13" s="1">
        <v>73.0</v>
      </c>
      <c r="L13" s="4">
        <f t="shared" ref="L13:O13" si="13">if($G13=0,H13/$F13,H13/$F13/$G13)</f>
        <v>398.6</v>
      </c>
      <c r="M13" s="4">
        <f t="shared" si="13"/>
        <v>20.46666667</v>
      </c>
      <c r="N13" s="4">
        <f t="shared" si="13"/>
        <v>4.85</v>
      </c>
      <c r="O13" s="4">
        <f t="shared" si="13"/>
        <v>1.216666667</v>
      </c>
    </row>
    <row r="14">
      <c r="A14" s="1" t="s">
        <v>40</v>
      </c>
      <c r="B14" s="1" t="s">
        <v>40</v>
      </c>
      <c r="C14" s="1" t="s">
        <v>16</v>
      </c>
      <c r="D14" s="1" t="s">
        <v>41</v>
      </c>
      <c r="E14" s="1">
        <v>75.0</v>
      </c>
      <c r="F14" s="3">
        <f t="shared" si="2"/>
        <v>60</v>
      </c>
      <c r="H14" s="1">
        <v>20185.0</v>
      </c>
      <c r="I14" s="1">
        <v>49.0</v>
      </c>
      <c r="J14" s="1">
        <v>299.0</v>
      </c>
      <c r="K14" s="1">
        <v>64.0</v>
      </c>
      <c r="L14" s="4">
        <f t="shared" ref="L14:O14" si="14">if($G14=0,H14/$F14,H14/$F14/$G14)</f>
        <v>336.4166667</v>
      </c>
      <c r="M14" s="4">
        <f t="shared" si="14"/>
        <v>0.8166666667</v>
      </c>
      <c r="N14" s="4">
        <f t="shared" si="14"/>
        <v>4.983333333</v>
      </c>
      <c r="O14" s="4">
        <f t="shared" si="14"/>
        <v>1.066666667</v>
      </c>
    </row>
    <row r="15">
      <c r="A15" s="1" t="s">
        <v>42</v>
      </c>
      <c r="B15" s="1" t="s">
        <v>42</v>
      </c>
      <c r="C15" s="1" t="s">
        <v>16</v>
      </c>
      <c r="D15" s="1" t="s">
        <v>43</v>
      </c>
      <c r="E15" s="1">
        <v>75.0</v>
      </c>
      <c r="F15" s="3">
        <f t="shared" si="2"/>
        <v>60</v>
      </c>
      <c r="H15" s="1">
        <v>20229.0</v>
      </c>
      <c r="I15" s="1">
        <v>141.0</v>
      </c>
      <c r="J15" s="1">
        <v>299.0</v>
      </c>
      <c r="K15" s="1">
        <v>56.0</v>
      </c>
      <c r="L15" s="4">
        <f t="shared" ref="L15:O15" si="15">if($G15=0,H15/$F15,H15/$F15/$G15)</f>
        <v>337.15</v>
      </c>
      <c r="M15" s="4">
        <f t="shared" si="15"/>
        <v>2.35</v>
      </c>
      <c r="N15" s="4">
        <f t="shared" si="15"/>
        <v>4.983333333</v>
      </c>
      <c r="O15" s="4">
        <f t="shared" si="15"/>
        <v>0.9333333333</v>
      </c>
    </row>
    <row r="16">
      <c r="A16" s="1" t="s">
        <v>44</v>
      </c>
      <c r="B16" s="1" t="s">
        <v>44</v>
      </c>
      <c r="C16" s="1" t="s">
        <v>16</v>
      </c>
      <c r="D16" s="1" t="s">
        <v>45</v>
      </c>
      <c r="E16" s="1">
        <v>75.0</v>
      </c>
      <c r="F16" s="3">
        <f t="shared" si="2"/>
        <v>60</v>
      </c>
      <c r="H16" s="1">
        <v>20580.0</v>
      </c>
      <c r="I16" s="1">
        <v>118.0</v>
      </c>
      <c r="J16" s="1">
        <v>307.0</v>
      </c>
      <c r="K16" s="1">
        <v>68.0</v>
      </c>
      <c r="L16" s="4">
        <f t="shared" ref="L16:O16" si="16">if($G16=0,H16/$F16,H16/$F16/$G16)</f>
        <v>343</v>
      </c>
      <c r="M16" s="4">
        <f t="shared" si="16"/>
        <v>1.966666667</v>
      </c>
      <c r="N16" s="4">
        <f t="shared" si="16"/>
        <v>5.116666667</v>
      </c>
      <c r="O16" s="4">
        <f t="shared" si="16"/>
        <v>1.133333333</v>
      </c>
    </row>
    <row r="17">
      <c r="A17" s="1" t="s">
        <v>46</v>
      </c>
      <c r="B17" s="1" t="s">
        <v>46</v>
      </c>
      <c r="C17" s="1" t="s">
        <v>16</v>
      </c>
      <c r="D17" s="1" t="s">
        <v>47</v>
      </c>
      <c r="E17" s="1">
        <v>75.0</v>
      </c>
      <c r="F17" s="3">
        <f t="shared" si="2"/>
        <v>60</v>
      </c>
      <c r="H17" s="1">
        <v>19269.0</v>
      </c>
      <c r="I17" s="1">
        <v>155.0</v>
      </c>
      <c r="J17" s="1">
        <v>302.0</v>
      </c>
      <c r="K17" s="1">
        <v>57.0</v>
      </c>
      <c r="L17" s="4">
        <f t="shared" ref="L17:O17" si="17">if($G17=0,H17/$F17,H17/$F17/$G17)</f>
        <v>321.15</v>
      </c>
      <c r="M17" s="4">
        <f t="shared" si="17"/>
        <v>2.583333333</v>
      </c>
      <c r="N17" s="4">
        <f t="shared" si="17"/>
        <v>5.033333333</v>
      </c>
      <c r="O17" s="4">
        <f t="shared" si="17"/>
        <v>0.95</v>
      </c>
    </row>
    <row r="18">
      <c r="A18" s="1" t="s">
        <v>48</v>
      </c>
      <c r="B18" s="1" t="s">
        <v>48</v>
      </c>
      <c r="C18" s="1" t="s">
        <v>16</v>
      </c>
      <c r="D18" s="1" t="s">
        <v>49</v>
      </c>
      <c r="E18" s="1">
        <v>75.0</v>
      </c>
      <c r="F18" s="3">
        <f t="shared" si="2"/>
        <v>60</v>
      </c>
      <c r="H18" s="1">
        <v>19142.0</v>
      </c>
      <c r="I18" s="1">
        <v>161.0</v>
      </c>
      <c r="J18" s="1">
        <v>312.0</v>
      </c>
      <c r="K18" s="1">
        <v>60.0</v>
      </c>
      <c r="L18" s="4">
        <f t="shared" ref="L18:O18" si="18">if($G18=0,H18/$F18,H18/$F18/$G18)</f>
        <v>319.0333333</v>
      </c>
      <c r="M18" s="4">
        <f t="shared" si="18"/>
        <v>2.683333333</v>
      </c>
      <c r="N18" s="4">
        <f t="shared" si="18"/>
        <v>5.2</v>
      </c>
      <c r="O18" s="4">
        <f t="shared" si="18"/>
        <v>1</v>
      </c>
    </row>
    <row r="19">
      <c r="A19" s="1" t="s">
        <v>50</v>
      </c>
      <c r="B19" s="1" t="s">
        <v>50</v>
      </c>
      <c r="C19" s="1" t="s">
        <v>16</v>
      </c>
      <c r="D19" s="1" t="s">
        <v>51</v>
      </c>
      <c r="E19" s="1">
        <v>75.0</v>
      </c>
      <c r="F19" s="3">
        <f t="shared" si="2"/>
        <v>60</v>
      </c>
      <c r="H19" s="1">
        <v>19483.0</v>
      </c>
      <c r="I19" s="1">
        <v>142.0</v>
      </c>
      <c r="J19" s="1">
        <v>319.0</v>
      </c>
      <c r="K19" s="1">
        <v>63.0</v>
      </c>
      <c r="L19" s="4">
        <f t="shared" ref="L19:O19" si="19">if($G19=0,H19/$F19,H19/$F19/$G19)</f>
        <v>324.7166667</v>
      </c>
      <c r="M19" s="4">
        <f t="shared" si="19"/>
        <v>2.366666667</v>
      </c>
      <c r="N19" s="4">
        <f t="shared" si="19"/>
        <v>5.316666667</v>
      </c>
      <c r="O19" s="4">
        <f t="shared" si="19"/>
        <v>1.05</v>
      </c>
    </row>
    <row r="20">
      <c r="A20" s="1" t="s">
        <v>52</v>
      </c>
      <c r="B20" s="1" t="s">
        <v>52</v>
      </c>
      <c r="C20" s="1" t="s">
        <v>16</v>
      </c>
      <c r="D20" s="1" t="s">
        <v>53</v>
      </c>
      <c r="E20" s="1">
        <v>75.0</v>
      </c>
      <c r="F20" s="3">
        <f t="shared" si="2"/>
        <v>60</v>
      </c>
      <c r="H20" s="1">
        <v>10840.0</v>
      </c>
      <c r="I20" s="1">
        <v>124.0</v>
      </c>
      <c r="J20" s="1">
        <v>280.0</v>
      </c>
      <c r="K20" s="1">
        <v>68.0</v>
      </c>
      <c r="L20" s="4">
        <f t="shared" ref="L20:O20" si="20">if($G20=0,H20/$F20,H20/$F20/$G20)</f>
        <v>180.6666667</v>
      </c>
      <c r="M20" s="4">
        <f t="shared" si="20"/>
        <v>2.066666667</v>
      </c>
      <c r="N20" s="4">
        <f t="shared" si="20"/>
        <v>4.666666667</v>
      </c>
      <c r="O20" s="4">
        <f t="shared" si="20"/>
        <v>1.133333333</v>
      </c>
    </row>
    <row r="21">
      <c r="A21" s="1" t="s">
        <v>54</v>
      </c>
      <c r="B21" s="1" t="s">
        <v>54</v>
      </c>
      <c r="C21" s="1" t="s">
        <v>16</v>
      </c>
      <c r="D21" s="1" t="s">
        <v>55</v>
      </c>
      <c r="E21" s="1">
        <v>75.0</v>
      </c>
      <c r="F21" s="3">
        <f t="shared" si="2"/>
        <v>60</v>
      </c>
      <c r="H21" s="1">
        <v>10883.0</v>
      </c>
      <c r="I21" s="1">
        <v>114.0</v>
      </c>
      <c r="J21" s="1">
        <v>263.0</v>
      </c>
      <c r="K21" s="1">
        <v>70.0</v>
      </c>
      <c r="L21" s="4">
        <f t="shared" ref="L21:O21" si="21">if($G21=0,H21/$F21,H21/$F21/$G21)</f>
        <v>181.3833333</v>
      </c>
      <c r="M21" s="4">
        <f t="shared" si="21"/>
        <v>1.9</v>
      </c>
      <c r="N21" s="4">
        <f t="shared" si="21"/>
        <v>4.383333333</v>
      </c>
      <c r="O21" s="4">
        <f t="shared" si="21"/>
        <v>1.166666667</v>
      </c>
    </row>
    <row r="22">
      <c r="A22" s="1" t="s">
        <v>56</v>
      </c>
      <c r="B22" s="1" t="s">
        <v>56</v>
      </c>
      <c r="C22" s="1" t="s">
        <v>16</v>
      </c>
      <c r="D22" s="1" t="s">
        <v>57</v>
      </c>
      <c r="E22" s="1">
        <v>75.0</v>
      </c>
      <c r="F22" s="3">
        <f t="shared" si="2"/>
        <v>60</v>
      </c>
      <c r="H22" s="1">
        <v>9665.0</v>
      </c>
      <c r="I22" s="1">
        <v>118.0</v>
      </c>
      <c r="J22" s="1">
        <v>294.0</v>
      </c>
      <c r="K22" s="1">
        <v>65.0</v>
      </c>
      <c r="L22" s="4">
        <f t="shared" ref="L22:O22" si="22">if($G22=0,H22/$F22,H22/$F22/$G22)</f>
        <v>161.0833333</v>
      </c>
      <c r="M22" s="4">
        <f t="shared" si="22"/>
        <v>1.966666667</v>
      </c>
      <c r="N22" s="4">
        <f t="shared" si="22"/>
        <v>4.9</v>
      </c>
      <c r="O22" s="4">
        <f t="shared" si="22"/>
        <v>1.083333333</v>
      </c>
    </row>
    <row r="23">
      <c r="A23" s="1" t="s">
        <v>58</v>
      </c>
      <c r="B23" s="1" t="s">
        <v>58</v>
      </c>
      <c r="C23" s="1" t="s">
        <v>16</v>
      </c>
      <c r="D23" s="1" t="s">
        <v>59</v>
      </c>
      <c r="E23" s="1">
        <v>75.0</v>
      </c>
      <c r="F23" s="3">
        <f t="shared" si="2"/>
        <v>60</v>
      </c>
      <c r="H23" s="1">
        <v>11653.0</v>
      </c>
      <c r="I23" s="1">
        <v>143.0</v>
      </c>
      <c r="J23" s="1">
        <v>302.0</v>
      </c>
      <c r="K23" s="1">
        <v>64.0</v>
      </c>
      <c r="L23" s="4">
        <f t="shared" ref="L23:O23" si="23">if($G23=0,H23/$F23,H23/$F23/$G23)</f>
        <v>194.2166667</v>
      </c>
      <c r="M23" s="4">
        <f t="shared" si="23"/>
        <v>2.383333333</v>
      </c>
      <c r="N23" s="4">
        <f t="shared" si="23"/>
        <v>5.033333333</v>
      </c>
      <c r="O23" s="4">
        <f t="shared" si="23"/>
        <v>1.066666667</v>
      </c>
    </row>
    <row r="24">
      <c r="A24" s="1" t="s">
        <v>60</v>
      </c>
      <c r="B24" s="1" t="s">
        <v>60</v>
      </c>
      <c r="C24" s="1" t="s">
        <v>16</v>
      </c>
      <c r="D24" s="1" t="s">
        <v>61</v>
      </c>
      <c r="E24" s="1">
        <v>75.0</v>
      </c>
      <c r="F24" s="3">
        <f t="shared" si="2"/>
        <v>60</v>
      </c>
      <c r="H24" s="1">
        <v>26559.0</v>
      </c>
      <c r="I24" s="1">
        <v>803.0</v>
      </c>
      <c r="J24" s="1">
        <v>287.0</v>
      </c>
      <c r="K24" s="1">
        <v>61.0</v>
      </c>
      <c r="L24" s="4">
        <f t="shared" ref="L24:O24" si="24">if($G24=0,H24/$F24,H24/$F24/$G24)</f>
        <v>442.65</v>
      </c>
      <c r="M24" s="4">
        <f t="shared" si="24"/>
        <v>13.38333333</v>
      </c>
      <c r="N24" s="4">
        <f t="shared" si="24"/>
        <v>4.783333333</v>
      </c>
      <c r="O24" s="4">
        <f t="shared" si="24"/>
        <v>1.016666667</v>
      </c>
    </row>
    <row r="25">
      <c r="A25" s="1" t="s">
        <v>62</v>
      </c>
      <c r="B25" s="1" t="s">
        <v>62</v>
      </c>
      <c r="C25" s="1" t="s">
        <v>16</v>
      </c>
      <c r="D25" s="1" t="s">
        <v>63</v>
      </c>
      <c r="E25" s="1">
        <v>75.0</v>
      </c>
      <c r="F25" s="3">
        <f t="shared" si="2"/>
        <v>60</v>
      </c>
      <c r="H25" s="1">
        <v>11536.0</v>
      </c>
      <c r="I25" s="1">
        <v>115.0</v>
      </c>
      <c r="J25" s="1">
        <v>285.0</v>
      </c>
      <c r="K25" s="1">
        <v>58.0</v>
      </c>
      <c r="L25" s="4">
        <f t="shared" ref="L25:O25" si="25">if($G25=0,H25/$F25,H25/$F25/$G25)</f>
        <v>192.2666667</v>
      </c>
      <c r="M25" s="4">
        <f t="shared" si="25"/>
        <v>1.916666667</v>
      </c>
      <c r="N25" s="4">
        <f t="shared" si="25"/>
        <v>4.75</v>
      </c>
      <c r="O25" s="4">
        <f t="shared" si="25"/>
        <v>0.9666666667</v>
      </c>
    </row>
    <row r="26">
      <c r="A26" s="1" t="s">
        <v>64</v>
      </c>
      <c r="B26" s="1" t="s">
        <v>64</v>
      </c>
      <c r="C26" s="1" t="s">
        <v>16</v>
      </c>
      <c r="D26" s="1" t="s">
        <v>65</v>
      </c>
      <c r="E26" s="1">
        <v>75.0</v>
      </c>
      <c r="F26" s="3">
        <f t="shared" si="2"/>
        <v>60</v>
      </c>
      <c r="H26" s="1">
        <v>12040.0</v>
      </c>
      <c r="I26" s="1">
        <v>139.0</v>
      </c>
      <c r="J26" s="1">
        <v>326.0</v>
      </c>
      <c r="K26" s="1">
        <v>65.0</v>
      </c>
      <c r="L26" s="4">
        <f t="shared" ref="L26:O26" si="26">if($G26=0,H26/$F26,H26/$F26/$G26)</f>
        <v>200.6666667</v>
      </c>
      <c r="M26" s="4">
        <f t="shared" si="26"/>
        <v>2.316666667</v>
      </c>
      <c r="N26" s="4">
        <f t="shared" si="26"/>
        <v>5.433333333</v>
      </c>
      <c r="O26" s="4">
        <f t="shared" si="26"/>
        <v>1.083333333</v>
      </c>
    </row>
    <row r="27">
      <c r="A27" s="1" t="s">
        <v>66</v>
      </c>
      <c r="B27" s="1" t="s">
        <v>66</v>
      </c>
      <c r="C27" s="1" t="s">
        <v>16</v>
      </c>
      <c r="D27" s="1" t="s">
        <v>67</v>
      </c>
      <c r="E27" s="1">
        <v>75.0</v>
      </c>
      <c r="F27" s="3">
        <f t="shared" si="2"/>
        <v>60</v>
      </c>
      <c r="H27" s="1">
        <v>11265.0</v>
      </c>
      <c r="I27" s="1">
        <v>54.0</v>
      </c>
      <c r="J27" s="1">
        <v>322.0</v>
      </c>
      <c r="K27" s="1">
        <v>57.0</v>
      </c>
      <c r="L27" s="4">
        <f t="shared" ref="L27:O27" si="27">if($G27=0,H27/$F27,H27/$F27/$G27)</f>
        <v>187.75</v>
      </c>
      <c r="M27" s="4">
        <f t="shared" si="27"/>
        <v>0.9</v>
      </c>
      <c r="N27" s="4">
        <f t="shared" si="27"/>
        <v>5.366666667</v>
      </c>
      <c r="O27" s="4">
        <f t="shared" si="27"/>
        <v>0.95</v>
      </c>
    </row>
    <row r="28">
      <c r="A28" s="1" t="s">
        <v>68</v>
      </c>
      <c r="B28" s="1" t="s">
        <v>68</v>
      </c>
      <c r="C28" s="1" t="s">
        <v>16</v>
      </c>
      <c r="D28" s="1" t="s">
        <v>69</v>
      </c>
      <c r="E28" s="1">
        <v>75.0</v>
      </c>
      <c r="F28" s="3">
        <f t="shared" si="2"/>
        <v>60</v>
      </c>
      <c r="H28" s="1">
        <v>10760.0</v>
      </c>
      <c r="I28" s="1">
        <v>102.0</v>
      </c>
      <c r="J28" s="1">
        <v>280.0</v>
      </c>
      <c r="K28" s="1">
        <v>60.0</v>
      </c>
      <c r="L28" s="4">
        <f t="shared" ref="L28:O28" si="28">if($G28=0,H28/$F28,H28/$F28/$G28)</f>
        <v>179.3333333</v>
      </c>
      <c r="M28" s="4">
        <f t="shared" si="28"/>
        <v>1.7</v>
      </c>
      <c r="N28" s="4">
        <f t="shared" si="28"/>
        <v>4.666666667</v>
      </c>
      <c r="O28" s="4">
        <f t="shared" si="28"/>
        <v>1</v>
      </c>
    </row>
    <row r="29">
      <c r="A29" s="1" t="s">
        <v>70</v>
      </c>
      <c r="B29" s="1" t="s">
        <v>70</v>
      </c>
      <c r="C29" s="1" t="s">
        <v>16</v>
      </c>
      <c r="D29" s="1" t="s">
        <v>71</v>
      </c>
      <c r="E29" s="1">
        <v>75.0</v>
      </c>
      <c r="F29" s="3">
        <f t="shared" si="2"/>
        <v>60</v>
      </c>
      <c r="H29" s="1">
        <v>12456.0</v>
      </c>
      <c r="I29" s="1">
        <v>153.0</v>
      </c>
      <c r="J29" s="1">
        <v>302.0</v>
      </c>
      <c r="K29" s="1">
        <v>50.0</v>
      </c>
      <c r="L29" s="4">
        <f t="shared" ref="L29:O29" si="29">if($G29=0,H29/$F29,H29/$F29/$G29)</f>
        <v>207.6</v>
      </c>
      <c r="M29" s="4">
        <f t="shared" si="29"/>
        <v>2.55</v>
      </c>
      <c r="N29" s="4">
        <f t="shared" si="29"/>
        <v>5.033333333</v>
      </c>
      <c r="O29" s="4">
        <f t="shared" si="29"/>
        <v>0.8333333333</v>
      </c>
    </row>
    <row r="30">
      <c r="A30" s="1" t="s">
        <v>72</v>
      </c>
      <c r="B30" s="1" t="s">
        <v>72</v>
      </c>
      <c r="C30" s="1" t="s">
        <v>16</v>
      </c>
      <c r="D30" s="1" t="s">
        <v>73</v>
      </c>
      <c r="E30" s="1">
        <v>75.0</v>
      </c>
      <c r="F30" s="3">
        <f t="shared" si="2"/>
        <v>60</v>
      </c>
      <c r="H30" s="1">
        <v>12257.0</v>
      </c>
      <c r="I30" s="1">
        <v>145.0</v>
      </c>
      <c r="J30" s="1">
        <v>320.0</v>
      </c>
      <c r="K30" s="1">
        <v>50.0</v>
      </c>
      <c r="L30" s="4">
        <f t="shared" ref="L30:O30" si="30">if($G30=0,H30/$F30,H30/$F30/$G30)</f>
        <v>204.2833333</v>
      </c>
      <c r="M30" s="4">
        <f t="shared" si="30"/>
        <v>2.416666667</v>
      </c>
      <c r="N30" s="4">
        <f t="shared" si="30"/>
        <v>5.333333333</v>
      </c>
      <c r="O30" s="4">
        <f t="shared" si="30"/>
        <v>0.8333333333</v>
      </c>
    </row>
    <row r="31">
      <c r="A31" s="1" t="s">
        <v>74</v>
      </c>
      <c r="B31" s="1" t="s">
        <v>74</v>
      </c>
      <c r="C31" s="1" t="s">
        <v>16</v>
      </c>
      <c r="D31" s="1" t="s">
        <v>75</v>
      </c>
      <c r="E31" s="1">
        <v>75.0</v>
      </c>
      <c r="F31" s="3">
        <f t="shared" si="2"/>
        <v>60</v>
      </c>
      <c r="H31" s="1">
        <v>12866.0</v>
      </c>
      <c r="I31" s="1">
        <v>121.0</v>
      </c>
      <c r="J31" s="1">
        <v>303.0</v>
      </c>
      <c r="K31" s="1">
        <v>49.0</v>
      </c>
      <c r="L31" s="4">
        <f t="shared" ref="L31:O31" si="31">if($G31=0,H31/$F31,H31/$F31/$G31)</f>
        <v>214.4333333</v>
      </c>
      <c r="M31" s="4">
        <f t="shared" si="31"/>
        <v>2.016666667</v>
      </c>
      <c r="N31" s="4">
        <f t="shared" si="31"/>
        <v>5.05</v>
      </c>
      <c r="O31" s="4">
        <f t="shared" si="31"/>
        <v>0.8166666667</v>
      </c>
    </row>
    <row r="32">
      <c r="A32" s="1" t="s">
        <v>76</v>
      </c>
      <c r="B32" s="1" t="s">
        <v>76</v>
      </c>
      <c r="C32" s="1" t="s">
        <v>16</v>
      </c>
      <c r="D32" s="1" t="s">
        <v>77</v>
      </c>
      <c r="E32" s="1">
        <v>75.0</v>
      </c>
      <c r="F32" s="3">
        <f t="shared" si="2"/>
        <v>60</v>
      </c>
      <c r="H32" s="1">
        <v>21593.0</v>
      </c>
      <c r="I32" s="1">
        <v>514.0</v>
      </c>
      <c r="J32" s="1">
        <v>305.0</v>
      </c>
      <c r="K32" s="1">
        <v>69.0</v>
      </c>
      <c r="L32" s="4">
        <f t="shared" ref="L32:O32" si="32">if($G32=0,H32/$F32,H32/$F32/$G32)</f>
        <v>359.8833333</v>
      </c>
      <c r="M32" s="4">
        <f t="shared" si="32"/>
        <v>8.566666667</v>
      </c>
      <c r="N32" s="4">
        <f t="shared" si="32"/>
        <v>5.083333333</v>
      </c>
      <c r="O32" s="4">
        <f t="shared" si="32"/>
        <v>1.15</v>
      </c>
    </row>
    <row r="33">
      <c r="A33" s="1" t="s">
        <v>78</v>
      </c>
      <c r="B33" s="1" t="s">
        <v>78</v>
      </c>
      <c r="C33" s="1" t="s">
        <v>16</v>
      </c>
      <c r="D33" s="1" t="s">
        <v>79</v>
      </c>
      <c r="E33" s="1">
        <v>75.0</v>
      </c>
      <c r="F33" s="3">
        <f t="shared" si="2"/>
        <v>60</v>
      </c>
      <c r="H33" s="1">
        <v>5684.0</v>
      </c>
      <c r="I33" s="1">
        <v>247.0</v>
      </c>
      <c r="J33" s="1">
        <v>306.0</v>
      </c>
      <c r="K33" s="1">
        <v>74.0</v>
      </c>
      <c r="L33" s="4">
        <f t="shared" ref="L33:O33" si="33">if($G33=0,H33/$F33,H33/$F33/$G33)</f>
        <v>94.73333333</v>
      </c>
      <c r="M33" s="4">
        <f t="shared" si="33"/>
        <v>4.116666667</v>
      </c>
      <c r="N33" s="4">
        <f t="shared" si="33"/>
        <v>5.1</v>
      </c>
      <c r="O33" s="4">
        <f t="shared" si="33"/>
        <v>1.233333333</v>
      </c>
    </row>
    <row r="34">
      <c r="A34" s="1" t="s">
        <v>80</v>
      </c>
      <c r="B34" s="1" t="s">
        <v>80</v>
      </c>
      <c r="C34" s="1" t="s">
        <v>16</v>
      </c>
      <c r="D34" s="1" t="s">
        <v>81</v>
      </c>
      <c r="E34" s="1">
        <v>75.0</v>
      </c>
      <c r="F34" s="3">
        <f t="shared" si="2"/>
        <v>60</v>
      </c>
      <c r="H34" s="1">
        <v>5841.0</v>
      </c>
      <c r="I34" s="1">
        <v>237.0</v>
      </c>
      <c r="J34" s="1">
        <v>260.0</v>
      </c>
      <c r="K34" s="1">
        <v>80.0</v>
      </c>
      <c r="L34" s="4">
        <f t="shared" ref="L34:O34" si="34">if($G34=0,H34/$F34,H34/$F34/$G34)</f>
        <v>97.35</v>
      </c>
      <c r="M34" s="4">
        <f t="shared" si="34"/>
        <v>3.95</v>
      </c>
      <c r="N34" s="4">
        <f t="shared" si="34"/>
        <v>4.333333333</v>
      </c>
      <c r="O34" s="4">
        <f t="shared" si="34"/>
        <v>1.333333333</v>
      </c>
    </row>
    <row r="35">
      <c r="A35" s="1" t="s">
        <v>82</v>
      </c>
      <c r="B35" s="1" t="s">
        <v>82</v>
      </c>
      <c r="C35" s="1" t="s">
        <v>16</v>
      </c>
      <c r="D35" s="1" t="s">
        <v>83</v>
      </c>
      <c r="E35" s="1">
        <v>75.0</v>
      </c>
      <c r="F35" s="3">
        <f t="shared" si="2"/>
        <v>60</v>
      </c>
      <c r="H35" s="1">
        <v>26148.0</v>
      </c>
      <c r="I35" s="1">
        <v>240.0</v>
      </c>
      <c r="J35" s="1">
        <v>262.0</v>
      </c>
      <c r="K35" s="1">
        <v>59.0</v>
      </c>
      <c r="L35" s="4">
        <f t="shared" ref="L35:O35" si="35">if($G35=0,H35/$F35,H35/$F35/$G35)</f>
        <v>435.8</v>
      </c>
      <c r="M35" s="4">
        <f t="shared" si="35"/>
        <v>4</v>
      </c>
      <c r="N35" s="4">
        <f t="shared" si="35"/>
        <v>4.366666667</v>
      </c>
      <c r="O35" s="4">
        <f t="shared" si="35"/>
        <v>0.9833333333</v>
      </c>
    </row>
    <row r="36">
      <c r="A36" s="1" t="s">
        <v>84</v>
      </c>
      <c r="B36" s="1" t="s">
        <v>84</v>
      </c>
      <c r="C36" s="1" t="s">
        <v>16</v>
      </c>
      <c r="D36" s="1" t="s">
        <v>85</v>
      </c>
      <c r="E36" s="1">
        <v>75.0</v>
      </c>
      <c r="F36" s="3">
        <f t="shared" si="2"/>
        <v>60</v>
      </c>
      <c r="H36" s="1">
        <v>25920.0</v>
      </c>
      <c r="I36" s="1">
        <v>234.0</v>
      </c>
      <c r="J36" s="1">
        <v>304.0</v>
      </c>
      <c r="K36" s="1">
        <v>58.0</v>
      </c>
      <c r="L36" s="4">
        <f t="shared" ref="L36:O36" si="36">if($G36=0,H36/$F36,H36/$F36/$G36)</f>
        <v>432</v>
      </c>
      <c r="M36" s="4">
        <f t="shared" si="36"/>
        <v>3.9</v>
      </c>
      <c r="N36" s="4">
        <f t="shared" si="36"/>
        <v>5.066666667</v>
      </c>
      <c r="O36" s="4">
        <f t="shared" si="36"/>
        <v>0.9666666667</v>
      </c>
    </row>
    <row r="37">
      <c r="A37" s="1" t="s">
        <v>86</v>
      </c>
      <c r="B37" s="1" t="s">
        <v>86</v>
      </c>
      <c r="C37" s="1" t="s">
        <v>16</v>
      </c>
      <c r="D37" s="1" t="s">
        <v>87</v>
      </c>
      <c r="E37" s="1">
        <v>75.0</v>
      </c>
      <c r="F37" s="3">
        <f t="shared" si="2"/>
        <v>60</v>
      </c>
      <c r="H37" s="1">
        <v>27702.0</v>
      </c>
      <c r="I37" s="1">
        <v>201.0</v>
      </c>
      <c r="J37" s="1">
        <v>301.0</v>
      </c>
      <c r="K37" s="1">
        <v>56.0</v>
      </c>
      <c r="L37" s="4">
        <f t="shared" ref="L37:O37" si="37">if($G37=0,H37/$F37,H37/$F37/$G37)</f>
        <v>461.7</v>
      </c>
      <c r="M37" s="4">
        <f t="shared" si="37"/>
        <v>3.35</v>
      </c>
      <c r="N37" s="4">
        <f t="shared" si="37"/>
        <v>5.016666667</v>
      </c>
      <c r="O37" s="4">
        <f t="shared" si="37"/>
        <v>0.9333333333</v>
      </c>
    </row>
    <row r="38">
      <c r="A38" s="1" t="s">
        <v>88</v>
      </c>
      <c r="B38" s="1" t="s">
        <v>88</v>
      </c>
      <c r="C38" s="1" t="s">
        <v>89</v>
      </c>
      <c r="D38" s="1" t="s">
        <v>90</v>
      </c>
      <c r="E38" s="1">
        <v>75.0</v>
      </c>
      <c r="F38" s="3">
        <f t="shared" si="2"/>
        <v>60</v>
      </c>
      <c r="H38" s="1">
        <v>69036.0</v>
      </c>
      <c r="I38" s="1">
        <v>118.0</v>
      </c>
      <c r="J38" s="1">
        <v>330.0</v>
      </c>
      <c r="K38" s="1">
        <v>81.0</v>
      </c>
      <c r="L38" s="4">
        <f t="shared" ref="L38:O38" si="38">if($G38=0,H38/$F38,H38/$F38/$G38)</f>
        <v>1150.6</v>
      </c>
      <c r="M38" s="4">
        <f t="shared" si="38"/>
        <v>1.966666667</v>
      </c>
      <c r="N38" s="4">
        <f t="shared" si="38"/>
        <v>5.5</v>
      </c>
      <c r="O38" s="4">
        <f t="shared" si="38"/>
        <v>1.35</v>
      </c>
    </row>
    <row r="39">
      <c r="A39" s="1" t="s">
        <v>91</v>
      </c>
      <c r="B39" s="1" t="s">
        <v>91</v>
      </c>
      <c r="C39" s="1" t="s">
        <v>89</v>
      </c>
      <c r="D39" s="1" t="s">
        <v>92</v>
      </c>
      <c r="E39" s="1">
        <v>75.0</v>
      </c>
      <c r="F39" s="3">
        <f t="shared" si="2"/>
        <v>60</v>
      </c>
      <c r="H39" s="1">
        <v>69423.0</v>
      </c>
      <c r="I39" s="1">
        <v>108.0</v>
      </c>
      <c r="J39" s="1">
        <v>328.0</v>
      </c>
      <c r="K39" s="1">
        <v>77.0</v>
      </c>
      <c r="L39" s="4">
        <f t="shared" ref="L39:O39" si="39">if($G39=0,H39/$F39,H39/$F39/$G39)</f>
        <v>1157.05</v>
      </c>
      <c r="M39" s="4">
        <f t="shared" si="39"/>
        <v>1.8</v>
      </c>
      <c r="N39" s="4">
        <f t="shared" si="39"/>
        <v>5.466666667</v>
      </c>
      <c r="O39" s="4">
        <f t="shared" si="39"/>
        <v>1.283333333</v>
      </c>
    </row>
    <row r="40">
      <c r="A40" s="1" t="s">
        <v>93</v>
      </c>
      <c r="B40" s="1" t="s">
        <v>93</v>
      </c>
      <c r="C40" s="1" t="s">
        <v>89</v>
      </c>
      <c r="D40" s="1" t="s">
        <v>94</v>
      </c>
      <c r="E40" s="1">
        <v>75.0</v>
      </c>
      <c r="F40" s="3">
        <f t="shared" si="2"/>
        <v>60</v>
      </c>
      <c r="H40" s="1">
        <v>70768.0</v>
      </c>
      <c r="I40" s="1">
        <v>127.0</v>
      </c>
      <c r="J40" s="1">
        <v>373.0</v>
      </c>
      <c r="K40" s="1">
        <v>77.0</v>
      </c>
      <c r="L40" s="4">
        <f t="shared" ref="L40:O40" si="40">if($G40=0,H40/$F40,H40/$F40/$G40)</f>
        <v>1179.466667</v>
      </c>
      <c r="M40" s="4">
        <f t="shared" si="40"/>
        <v>2.116666667</v>
      </c>
      <c r="N40" s="4">
        <f t="shared" si="40"/>
        <v>6.216666667</v>
      </c>
      <c r="O40" s="4">
        <f t="shared" si="40"/>
        <v>1.283333333</v>
      </c>
    </row>
    <row r="41">
      <c r="A41" s="1" t="s">
        <v>95</v>
      </c>
      <c r="B41" s="1" t="s">
        <v>95</v>
      </c>
      <c r="C41" s="1" t="s">
        <v>89</v>
      </c>
      <c r="D41" s="1" t="s">
        <v>96</v>
      </c>
      <c r="E41" s="1">
        <v>75.0</v>
      </c>
      <c r="F41" s="3">
        <f t="shared" si="2"/>
        <v>60</v>
      </c>
      <c r="H41" s="1">
        <v>178137.0</v>
      </c>
      <c r="I41" s="1">
        <v>104.0</v>
      </c>
      <c r="J41" s="1">
        <v>297.0</v>
      </c>
      <c r="K41" s="1">
        <v>83.0</v>
      </c>
      <c r="L41" s="4">
        <f t="shared" ref="L41:O41" si="41">if($G41=0,H41/$F41,H41/$F41/$G41)</f>
        <v>2968.95</v>
      </c>
      <c r="M41" s="4">
        <f t="shared" si="41"/>
        <v>1.733333333</v>
      </c>
      <c r="N41" s="4">
        <f t="shared" si="41"/>
        <v>4.95</v>
      </c>
      <c r="O41" s="4">
        <f t="shared" si="41"/>
        <v>1.383333333</v>
      </c>
    </row>
    <row r="42">
      <c r="A42" s="1" t="s">
        <v>97</v>
      </c>
      <c r="B42" s="1" t="s">
        <v>97</v>
      </c>
      <c r="C42" s="1" t="s">
        <v>89</v>
      </c>
      <c r="D42" s="1" t="s">
        <v>98</v>
      </c>
      <c r="E42" s="1">
        <v>75.0</v>
      </c>
      <c r="F42" s="3">
        <f t="shared" si="2"/>
        <v>60</v>
      </c>
      <c r="H42" s="1">
        <v>71408.0</v>
      </c>
      <c r="I42" s="1">
        <v>115.0</v>
      </c>
      <c r="J42" s="1">
        <v>327.0</v>
      </c>
      <c r="K42" s="1">
        <v>72.0</v>
      </c>
      <c r="L42" s="4">
        <f t="shared" ref="L42:O42" si="42">if($G42=0,H42/$F42,H42/$F42/$G42)</f>
        <v>1190.133333</v>
      </c>
      <c r="M42" s="4">
        <f t="shared" si="42"/>
        <v>1.916666667</v>
      </c>
      <c r="N42" s="4">
        <f t="shared" si="42"/>
        <v>5.45</v>
      </c>
      <c r="O42" s="4">
        <f t="shared" si="42"/>
        <v>1.2</v>
      </c>
    </row>
    <row r="43">
      <c r="A43" s="1" t="s">
        <v>99</v>
      </c>
      <c r="B43" s="1" t="s">
        <v>99</v>
      </c>
      <c r="C43" s="1" t="s">
        <v>89</v>
      </c>
      <c r="D43" s="1" t="s">
        <v>100</v>
      </c>
      <c r="E43" s="1">
        <v>75.0</v>
      </c>
      <c r="F43" s="3">
        <f t="shared" si="2"/>
        <v>60</v>
      </c>
      <c r="H43" s="1">
        <v>70004.0</v>
      </c>
      <c r="I43" s="1">
        <v>208.0</v>
      </c>
      <c r="J43" s="1">
        <v>349.0</v>
      </c>
      <c r="K43" s="1">
        <v>75.0</v>
      </c>
      <c r="L43" s="4">
        <f t="shared" ref="L43:O43" si="43">if($G43=0,H43/$F43,H43/$F43/$G43)</f>
        <v>1166.733333</v>
      </c>
      <c r="M43" s="4">
        <f t="shared" si="43"/>
        <v>3.466666667</v>
      </c>
      <c r="N43" s="4">
        <f t="shared" si="43"/>
        <v>5.816666667</v>
      </c>
      <c r="O43" s="4">
        <f t="shared" si="43"/>
        <v>1.25</v>
      </c>
    </row>
    <row r="44">
      <c r="A44" s="1" t="s">
        <v>101</v>
      </c>
      <c r="B44" s="1" t="s">
        <v>101</v>
      </c>
      <c r="C44" s="1" t="s">
        <v>89</v>
      </c>
      <c r="D44" s="1" t="s">
        <v>102</v>
      </c>
      <c r="E44" s="1">
        <v>75.0</v>
      </c>
      <c r="F44" s="3">
        <f t="shared" si="2"/>
        <v>60</v>
      </c>
      <c r="H44" s="1">
        <v>230713.0</v>
      </c>
      <c r="I44" s="1">
        <v>96.0</v>
      </c>
      <c r="J44" s="1">
        <v>326.0</v>
      </c>
      <c r="K44" s="1">
        <v>66.0</v>
      </c>
      <c r="L44" s="4">
        <f t="shared" ref="L44:O44" si="44">if($G44=0,H44/$F44,H44/$F44/$G44)</f>
        <v>3845.216667</v>
      </c>
      <c r="M44" s="4">
        <f t="shared" si="44"/>
        <v>1.6</v>
      </c>
      <c r="N44" s="4">
        <f t="shared" si="44"/>
        <v>5.433333333</v>
      </c>
      <c r="O44" s="4">
        <f t="shared" si="44"/>
        <v>1.1</v>
      </c>
    </row>
    <row r="45">
      <c r="A45" s="1" t="s">
        <v>103</v>
      </c>
      <c r="B45" s="1" t="s">
        <v>103</v>
      </c>
      <c r="C45" s="1" t="s">
        <v>89</v>
      </c>
      <c r="D45" s="1" t="s">
        <v>104</v>
      </c>
      <c r="E45" s="1">
        <v>75.0</v>
      </c>
      <c r="F45" s="3">
        <f t="shared" si="2"/>
        <v>60</v>
      </c>
      <c r="H45" s="1">
        <v>268814.0</v>
      </c>
      <c r="I45" s="1">
        <v>124.0</v>
      </c>
      <c r="J45" s="1">
        <v>309.0</v>
      </c>
      <c r="K45" s="1">
        <v>73.0</v>
      </c>
      <c r="L45" s="4">
        <f t="shared" ref="L45:O45" si="45">if($G45=0,H45/$F45,H45/$F45/$G45)</f>
        <v>4480.233333</v>
      </c>
      <c r="M45" s="4">
        <f t="shared" si="45"/>
        <v>2.066666667</v>
      </c>
      <c r="N45" s="4">
        <f t="shared" si="45"/>
        <v>5.15</v>
      </c>
      <c r="O45" s="4">
        <f t="shared" si="45"/>
        <v>1.216666667</v>
      </c>
    </row>
    <row r="46">
      <c r="A46" s="1" t="s">
        <v>105</v>
      </c>
      <c r="B46" s="1" t="s">
        <v>105</v>
      </c>
      <c r="C46" s="1" t="s">
        <v>89</v>
      </c>
      <c r="D46" s="1" t="s">
        <v>106</v>
      </c>
      <c r="E46" s="1">
        <v>75.0</v>
      </c>
      <c r="F46" s="3">
        <f t="shared" si="2"/>
        <v>60</v>
      </c>
      <c r="H46" s="1">
        <v>374142.0</v>
      </c>
      <c r="I46" s="1">
        <v>87.0</v>
      </c>
      <c r="J46" s="1">
        <v>282.0</v>
      </c>
      <c r="K46" s="1">
        <v>68.0</v>
      </c>
      <c r="L46" s="4">
        <f t="shared" ref="L46:O46" si="46">if($G46=0,H46/$F46,H46/$F46/$G46)</f>
        <v>6235.7</v>
      </c>
      <c r="M46" s="4">
        <f t="shared" si="46"/>
        <v>1.45</v>
      </c>
      <c r="N46" s="4">
        <f t="shared" si="46"/>
        <v>4.7</v>
      </c>
      <c r="O46" s="4">
        <f t="shared" si="46"/>
        <v>1.133333333</v>
      </c>
    </row>
    <row r="47">
      <c r="A47" s="1" t="s">
        <v>107</v>
      </c>
      <c r="B47" s="1" t="s">
        <v>107</v>
      </c>
      <c r="C47" s="1" t="s">
        <v>89</v>
      </c>
      <c r="D47" s="1" t="s">
        <v>108</v>
      </c>
      <c r="E47" s="1">
        <v>75.0</v>
      </c>
      <c r="F47" s="3">
        <f t="shared" si="2"/>
        <v>60</v>
      </c>
      <c r="H47" s="1">
        <v>262157.0</v>
      </c>
      <c r="I47" s="1">
        <v>130.0</v>
      </c>
      <c r="J47" s="1">
        <v>299.0</v>
      </c>
      <c r="K47" s="1">
        <v>65.0</v>
      </c>
      <c r="L47" s="4">
        <f t="shared" ref="L47:O47" si="47">if($G47=0,H47/$F47,H47/$F47/$G47)</f>
        <v>4369.283333</v>
      </c>
      <c r="M47" s="4">
        <f t="shared" si="47"/>
        <v>2.166666667</v>
      </c>
      <c r="N47" s="4">
        <f t="shared" si="47"/>
        <v>4.983333333</v>
      </c>
      <c r="O47" s="4">
        <f t="shared" si="47"/>
        <v>1.083333333</v>
      </c>
    </row>
    <row r="48">
      <c r="A48" s="1" t="s">
        <v>109</v>
      </c>
      <c r="B48" s="1" t="s">
        <v>109</v>
      </c>
      <c r="C48" s="1" t="s">
        <v>89</v>
      </c>
      <c r="D48" s="1" t="s">
        <v>110</v>
      </c>
      <c r="E48" s="1">
        <v>75.0</v>
      </c>
      <c r="F48" s="3">
        <f t="shared" si="2"/>
        <v>60</v>
      </c>
      <c r="H48" s="1">
        <v>262855.0</v>
      </c>
      <c r="I48" s="1">
        <v>93.0</v>
      </c>
      <c r="J48" s="1">
        <v>301.0</v>
      </c>
      <c r="K48" s="1">
        <v>82.0</v>
      </c>
      <c r="L48" s="4">
        <f t="shared" ref="L48:O48" si="48">if($G48=0,H48/$F48,H48/$F48/$G48)</f>
        <v>4380.916667</v>
      </c>
      <c r="M48" s="4">
        <f t="shared" si="48"/>
        <v>1.55</v>
      </c>
      <c r="N48" s="4">
        <f t="shared" si="48"/>
        <v>5.016666667</v>
      </c>
      <c r="O48" s="4">
        <f t="shared" si="48"/>
        <v>1.366666667</v>
      </c>
    </row>
    <row r="49">
      <c r="A49" s="5" t="s">
        <v>111</v>
      </c>
      <c r="B49" s="6" t="s">
        <v>112</v>
      </c>
      <c r="C49" s="1" t="s">
        <v>89</v>
      </c>
      <c r="D49" s="1" t="s">
        <v>113</v>
      </c>
      <c r="E49" s="1">
        <v>75.0</v>
      </c>
      <c r="F49" s="3">
        <f t="shared" si="2"/>
        <v>60</v>
      </c>
      <c r="G49" s="1">
        <v>0.2</v>
      </c>
      <c r="H49" s="1">
        <v>110996.0</v>
      </c>
      <c r="I49" s="1">
        <v>33.0</v>
      </c>
      <c r="J49" s="1">
        <v>54.0</v>
      </c>
      <c r="K49" s="1">
        <v>21.0</v>
      </c>
      <c r="L49" s="4">
        <f t="shared" ref="L49:O49" si="49">if($G49=0,H49/$F49,H49/$F49/$G49)</f>
        <v>9249.666667</v>
      </c>
      <c r="M49" s="4">
        <f t="shared" si="49"/>
        <v>2.75</v>
      </c>
      <c r="N49" s="4">
        <f t="shared" si="49"/>
        <v>4.5</v>
      </c>
      <c r="O49" s="4">
        <f t="shared" si="49"/>
        <v>1.75</v>
      </c>
    </row>
    <row r="50">
      <c r="A50" s="1" t="s">
        <v>114</v>
      </c>
      <c r="B50" s="1" t="s">
        <v>114</v>
      </c>
      <c r="C50" s="1" t="s">
        <v>89</v>
      </c>
      <c r="D50" s="1" t="s">
        <v>115</v>
      </c>
      <c r="E50" s="1">
        <v>75.0</v>
      </c>
      <c r="F50" s="3">
        <f t="shared" si="2"/>
        <v>60</v>
      </c>
      <c r="H50" s="1">
        <v>80495.0</v>
      </c>
      <c r="I50" s="1">
        <v>148.0</v>
      </c>
      <c r="J50" s="1">
        <v>328.0</v>
      </c>
      <c r="K50" s="1">
        <v>81.0</v>
      </c>
      <c r="L50" s="4">
        <f t="shared" ref="L50:O50" si="50">if($G50=0,H50/$F50,H50/$F50/$G50)</f>
        <v>1341.583333</v>
      </c>
      <c r="M50" s="4">
        <f t="shared" si="50"/>
        <v>2.466666667</v>
      </c>
      <c r="N50" s="4">
        <f t="shared" si="50"/>
        <v>5.466666667</v>
      </c>
      <c r="O50" s="4">
        <f t="shared" si="50"/>
        <v>1.35</v>
      </c>
    </row>
    <row r="51">
      <c r="A51" s="5" t="s">
        <v>114</v>
      </c>
      <c r="B51" s="5" t="s">
        <v>116</v>
      </c>
      <c r="C51" s="1" t="s">
        <v>89</v>
      </c>
      <c r="D51" s="1" t="s">
        <v>117</v>
      </c>
      <c r="E51" s="1">
        <v>75.0</v>
      </c>
      <c r="F51" s="3">
        <f t="shared" si="2"/>
        <v>60</v>
      </c>
      <c r="H51" s="1">
        <v>17255.0</v>
      </c>
      <c r="I51" s="1">
        <v>23.0</v>
      </c>
      <c r="J51" s="1">
        <v>73.0</v>
      </c>
      <c r="K51" s="1">
        <v>12.0</v>
      </c>
      <c r="L51" s="4">
        <f t="shared" ref="L51:O51" si="51">if($G51=0,H51/$F51,H51/$F51/$G51)</f>
        <v>287.5833333</v>
      </c>
      <c r="M51" s="4">
        <f t="shared" si="51"/>
        <v>0.3833333333</v>
      </c>
      <c r="N51" s="4">
        <f t="shared" si="51"/>
        <v>1.216666667</v>
      </c>
      <c r="O51" s="4">
        <f t="shared" si="51"/>
        <v>0.2</v>
      </c>
    </row>
    <row r="52">
      <c r="A52" s="5" t="s">
        <v>118</v>
      </c>
      <c r="B52" s="5" t="s">
        <v>119</v>
      </c>
      <c r="C52" s="1" t="s">
        <v>89</v>
      </c>
      <c r="D52" s="1" t="s">
        <v>120</v>
      </c>
      <c r="E52" s="1">
        <v>75.0</v>
      </c>
      <c r="F52" s="3">
        <f t="shared" si="2"/>
        <v>60</v>
      </c>
      <c r="G52" s="1">
        <v>0.2</v>
      </c>
      <c r="H52" s="1">
        <v>113618.0</v>
      </c>
      <c r="I52" s="1">
        <v>26.0</v>
      </c>
      <c r="J52" s="1">
        <v>63.0</v>
      </c>
      <c r="K52" s="1">
        <v>13.0</v>
      </c>
      <c r="L52" s="4">
        <f t="shared" ref="L52:O52" si="52">if($G52=0,H52/$F52,H52/$F52/$G52)</f>
        <v>9468.166667</v>
      </c>
      <c r="M52" s="4">
        <f t="shared" si="52"/>
        <v>2.166666667</v>
      </c>
      <c r="N52" s="4">
        <f t="shared" si="52"/>
        <v>5.25</v>
      </c>
      <c r="O52" s="4">
        <f t="shared" si="52"/>
        <v>1.083333333</v>
      </c>
    </row>
    <row r="53">
      <c r="A53" s="1" t="s">
        <v>121</v>
      </c>
      <c r="B53" s="1" t="s">
        <v>121</v>
      </c>
      <c r="C53" s="1" t="s">
        <v>89</v>
      </c>
      <c r="D53" s="1" t="s">
        <v>122</v>
      </c>
      <c r="E53" s="1">
        <v>75.1</v>
      </c>
      <c r="F53" s="3">
        <f t="shared" si="2"/>
        <v>60.1</v>
      </c>
      <c r="H53" s="1">
        <v>93653.0</v>
      </c>
      <c r="I53" s="1">
        <v>124.0</v>
      </c>
      <c r="J53" s="1">
        <v>347.0</v>
      </c>
      <c r="K53" s="1">
        <v>67.0</v>
      </c>
      <c r="L53" s="4">
        <f t="shared" ref="L53:O53" si="53">if($G53=0,H53/$F53,H53/$F53/$G53)</f>
        <v>1558.28619</v>
      </c>
      <c r="M53" s="4">
        <f t="shared" si="53"/>
        <v>2.063227953</v>
      </c>
      <c r="N53" s="4">
        <f t="shared" si="53"/>
        <v>5.773710483</v>
      </c>
      <c r="O53" s="4">
        <f t="shared" si="53"/>
        <v>1.114808652</v>
      </c>
    </row>
    <row r="54">
      <c r="A54" s="1" t="s">
        <v>123</v>
      </c>
      <c r="B54" s="1" t="s">
        <v>123</v>
      </c>
      <c r="C54" s="1" t="s">
        <v>89</v>
      </c>
      <c r="D54" s="1" t="s">
        <v>124</v>
      </c>
      <c r="E54" s="1">
        <v>75.0</v>
      </c>
      <c r="F54" s="3">
        <f t="shared" si="2"/>
        <v>60</v>
      </c>
      <c r="H54" s="1">
        <v>91139.0</v>
      </c>
      <c r="I54" s="1">
        <v>60.0</v>
      </c>
      <c r="J54" s="1">
        <v>345.0</v>
      </c>
      <c r="K54" s="1">
        <v>61.0</v>
      </c>
      <c r="L54" s="4">
        <f t="shared" ref="L54:O54" si="54">if($G54=0,H54/$F54,H54/$F54/$G54)</f>
        <v>1518.983333</v>
      </c>
      <c r="M54" s="4">
        <f t="shared" si="54"/>
        <v>1</v>
      </c>
      <c r="N54" s="4">
        <f t="shared" si="54"/>
        <v>5.75</v>
      </c>
      <c r="O54" s="4">
        <f t="shared" si="54"/>
        <v>1.016666667</v>
      </c>
    </row>
    <row r="55">
      <c r="A55" s="1" t="s">
        <v>125</v>
      </c>
      <c r="B55" s="1" t="s">
        <v>125</v>
      </c>
      <c r="C55" s="1" t="s">
        <v>89</v>
      </c>
      <c r="D55" s="1" t="s">
        <v>126</v>
      </c>
      <c r="E55" s="1">
        <v>75.0</v>
      </c>
      <c r="F55" s="3">
        <f t="shared" si="2"/>
        <v>60</v>
      </c>
      <c r="H55" s="1">
        <v>89019.0</v>
      </c>
      <c r="I55" s="1">
        <v>140.0</v>
      </c>
      <c r="J55" s="1">
        <v>329.0</v>
      </c>
      <c r="K55" s="1">
        <v>71.0</v>
      </c>
      <c r="L55" s="4">
        <f t="shared" ref="L55:O55" si="55">if($G55=0,H55/$F55,H55/$F55/$G55)</f>
        <v>1483.65</v>
      </c>
      <c r="M55" s="4">
        <f t="shared" si="55"/>
        <v>2.333333333</v>
      </c>
      <c r="N55" s="4">
        <f t="shared" si="55"/>
        <v>5.483333333</v>
      </c>
      <c r="O55" s="4">
        <f t="shared" si="55"/>
        <v>1.183333333</v>
      </c>
    </row>
    <row r="56">
      <c r="A56" s="1" t="s">
        <v>127</v>
      </c>
      <c r="B56" s="1" t="s">
        <v>127</v>
      </c>
      <c r="C56" s="1" t="s">
        <v>89</v>
      </c>
      <c r="D56" s="1" t="s">
        <v>128</v>
      </c>
      <c r="E56" s="1">
        <v>75.0</v>
      </c>
      <c r="F56" s="3">
        <f t="shared" si="2"/>
        <v>60</v>
      </c>
      <c r="H56" s="1">
        <v>223852.0</v>
      </c>
      <c r="I56" s="1">
        <v>110.0</v>
      </c>
      <c r="J56" s="1">
        <v>346.0</v>
      </c>
      <c r="K56" s="1">
        <v>60.0</v>
      </c>
      <c r="L56" s="4">
        <f t="shared" ref="L56:O56" si="56">if($G56=0,H56/$F56,H56/$F56/$G56)</f>
        <v>3730.866667</v>
      </c>
      <c r="M56" s="4">
        <f t="shared" si="56"/>
        <v>1.833333333</v>
      </c>
      <c r="N56" s="4">
        <f t="shared" si="56"/>
        <v>5.766666667</v>
      </c>
      <c r="O56" s="4">
        <f t="shared" si="56"/>
        <v>1</v>
      </c>
    </row>
    <row r="57">
      <c r="A57" s="1" t="s">
        <v>129</v>
      </c>
      <c r="B57" s="1" t="s">
        <v>129</v>
      </c>
      <c r="C57" s="1" t="s">
        <v>89</v>
      </c>
      <c r="D57" s="1" t="s">
        <v>130</v>
      </c>
      <c r="E57" s="1">
        <v>75.0</v>
      </c>
      <c r="F57" s="3">
        <f t="shared" si="2"/>
        <v>60</v>
      </c>
      <c r="H57" s="1">
        <v>278586.0</v>
      </c>
      <c r="I57" s="1">
        <v>143.0</v>
      </c>
      <c r="J57" s="1">
        <v>282.0</v>
      </c>
      <c r="K57" s="1">
        <v>77.0</v>
      </c>
      <c r="L57" s="4">
        <f t="shared" ref="L57:O57" si="57">if($G57=0,H57/$F57,H57/$F57/$G57)</f>
        <v>4643.1</v>
      </c>
      <c r="M57" s="4">
        <f t="shared" si="57"/>
        <v>2.383333333</v>
      </c>
      <c r="N57" s="4">
        <f t="shared" si="57"/>
        <v>4.7</v>
      </c>
      <c r="O57" s="4">
        <f t="shared" si="57"/>
        <v>1.283333333</v>
      </c>
    </row>
    <row r="58">
      <c r="A58" s="1" t="s">
        <v>131</v>
      </c>
      <c r="B58" s="1" t="s">
        <v>131</v>
      </c>
      <c r="C58" s="1" t="s">
        <v>89</v>
      </c>
      <c r="D58" s="1" t="s">
        <v>132</v>
      </c>
      <c r="E58" s="1">
        <v>75.0</v>
      </c>
      <c r="F58" s="3">
        <f t="shared" si="2"/>
        <v>60</v>
      </c>
      <c r="H58" s="1">
        <v>328779.0</v>
      </c>
      <c r="I58" s="1">
        <v>115.0</v>
      </c>
      <c r="J58" s="1">
        <v>327.0</v>
      </c>
      <c r="K58" s="1">
        <v>59.0</v>
      </c>
      <c r="L58" s="4">
        <f t="shared" ref="L58:O58" si="58">if($G58=0,H58/$F58,H58/$F58/$G58)</f>
        <v>5479.65</v>
      </c>
      <c r="M58" s="4">
        <f t="shared" si="58"/>
        <v>1.916666667</v>
      </c>
      <c r="N58" s="4">
        <f t="shared" si="58"/>
        <v>5.45</v>
      </c>
      <c r="O58" s="4">
        <f t="shared" si="58"/>
        <v>0.9833333333</v>
      </c>
    </row>
    <row r="59">
      <c r="A59" s="1" t="s">
        <v>133</v>
      </c>
      <c r="B59" s="1" t="s">
        <v>133</v>
      </c>
      <c r="C59" s="1" t="s">
        <v>89</v>
      </c>
      <c r="D59" s="1" t="s">
        <v>134</v>
      </c>
      <c r="E59" s="1">
        <v>75.0</v>
      </c>
      <c r="F59" s="3">
        <f t="shared" si="2"/>
        <v>60</v>
      </c>
      <c r="H59" s="1">
        <v>344258.0</v>
      </c>
      <c r="I59" s="1">
        <v>103.0</v>
      </c>
      <c r="J59" s="1">
        <v>323.0</v>
      </c>
      <c r="K59" s="1">
        <v>80.0</v>
      </c>
      <c r="L59" s="4">
        <f t="shared" ref="L59:O59" si="59">if($G59=0,H59/$F59,H59/$F59/$G59)</f>
        <v>5737.633333</v>
      </c>
      <c r="M59" s="4">
        <f t="shared" si="59"/>
        <v>1.716666667</v>
      </c>
      <c r="N59" s="4">
        <f t="shared" si="59"/>
        <v>5.383333333</v>
      </c>
      <c r="O59" s="4">
        <f t="shared" si="59"/>
        <v>1.333333333</v>
      </c>
    </row>
    <row r="60">
      <c r="A60" s="1" t="s">
        <v>135</v>
      </c>
      <c r="B60" s="1" t="s">
        <v>135</v>
      </c>
      <c r="C60" s="1" t="s">
        <v>89</v>
      </c>
      <c r="D60" s="1" t="s">
        <v>136</v>
      </c>
      <c r="E60" s="1">
        <v>75.0</v>
      </c>
      <c r="F60" s="3">
        <f t="shared" si="2"/>
        <v>60</v>
      </c>
      <c r="H60" s="1">
        <v>341571.0</v>
      </c>
      <c r="I60" s="1">
        <v>114.0</v>
      </c>
      <c r="J60" s="1">
        <v>338.0</v>
      </c>
      <c r="K60" s="1">
        <v>55.0</v>
      </c>
      <c r="L60" s="4">
        <f t="shared" ref="L60:O60" si="60">if($G60=0,H60/$F60,H60/$F60/$G60)</f>
        <v>5692.85</v>
      </c>
      <c r="M60" s="4">
        <f t="shared" si="60"/>
        <v>1.9</v>
      </c>
      <c r="N60" s="4">
        <f t="shared" si="60"/>
        <v>5.633333333</v>
      </c>
      <c r="O60" s="4">
        <f t="shared" si="60"/>
        <v>0.9166666667</v>
      </c>
    </row>
    <row r="61">
      <c r="A61" s="5" t="s">
        <v>137</v>
      </c>
      <c r="B61" s="6" t="s">
        <v>138</v>
      </c>
      <c r="C61" s="1" t="s">
        <v>89</v>
      </c>
      <c r="D61" s="1" t="s">
        <v>139</v>
      </c>
      <c r="E61" s="1">
        <v>75.0</v>
      </c>
      <c r="F61" s="3">
        <f t="shared" si="2"/>
        <v>60</v>
      </c>
      <c r="G61" s="1">
        <v>0.2</v>
      </c>
      <c r="H61" s="1">
        <v>113690.0</v>
      </c>
      <c r="I61" s="1">
        <v>47.0</v>
      </c>
      <c r="J61" s="1">
        <v>58.0</v>
      </c>
      <c r="K61" s="1">
        <v>8.0</v>
      </c>
      <c r="L61" s="4">
        <f t="shared" ref="L61:O61" si="61">if($G61=0,H61/$F61,H61/$F61/$G61)</f>
        <v>9474.166667</v>
      </c>
      <c r="M61" s="4">
        <f t="shared" si="61"/>
        <v>3.916666667</v>
      </c>
      <c r="N61" s="4">
        <f t="shared" si="61"/>
        <v>4.833333333</v>
      </c>
      <c r="O61" s="4">
        <f t="shared" si="61"/>
        <v>0.6666666667</v>
      </c>
    </row>
    <row r="62">
      <c r="A62" s="5" t="s">
        <v>140</v>
      </c>
      <c r="B62" s="6" t="s">
        <v>141</v>
      </c>
      <c r="C62" s="1" t="s">
        <v>89</v>
      </c>
      <c r="D62" s="1" t="s">
        <v>142</v>
      </c>
      <c r="E62" s="1">
        <v>75.0</v>
      </c>
      <c r="F62" s="3">
        <f t="shared" si="2"/>
        <v>60</v>
      </c>
      <c r="G62" s="1">
        <v>0.2</v>
      </c>
      <c r="H62" s="1">
        <v>183544.0</v>
      </c>
      <c r="I62" s="1">
        <v>15.0</v>
      </c>
      <c r="J62" s="1">
        <v>58.0</v>
      </c>
      <c r="K62" s="1">
        <v>19.0</v>
      </c>
      <c r="L62" s="4">
        <f t="shared" ref="L62:O62" si="62">if($G62=0,H62/$F62,H62/$F62/$G62)</f>
        <v>15295.33333</v>
      </c>
      <c r="M62" s="4">
        <f t="shared" si="62"/>
        <v>1.25</v>
      </c>
      <c r="N62" s="4">
        <f t="shared" si="62"/>
        <v>4.833333333</v>
      </c>
      <c r="O62" s="4">
        <f t="shared" si="62"/>
        <v>1.583333333</v>
      </c>
    </row>
    <row r="63">
      <c r="A63" s="5" t="s">
        <v>143</v>
      </c>
      <c r="B63" s="6" t="s">
        <v>144</v>
      </c>
      <c r="C63" s="1" t="s">
        <v>89</v>
      </c>
      <c r="D63" s="1" t="s">
        <v>145</v>
      </c>
      <c r="E63" s="1">
        <v>75.0</v>
      </c>
      <c r="F63" s="3">
        <f t="shared" si="2"/>
        <v>60</v>
      </c>
      <c r="G63" s="1">
        <v>0.2</v>
      </c>
      <c r="H63" s="1">
        <v>209197.0</v>
      </c>
      <c r="I63" s="1">
        <v>29.0</v>
      </c>
      <c r="J63" s="1">
        <v>55.0</v>
      </c>
      <c r="K63" s="1">
        <v>9.0</v>
      </c>
      <c r="L63" s="4">
        <f t="shared" ref="L63:O63" si="63">if($G63=0,H63/$F63,H63/$F63/$G63)</f>
        <v>17433.08333</v>
      </c>
      <c r="M63" s="4">
        <f t="shared" si="63"/>
        <v>2.416666667</v>
      </c>
      <c r="N63" s="4">
        <f t="shared" si="63"/>
        <v>4.583333333</v>
      </c>
      <c r="O63" s="4">
        <f t="shared" si="63"/>
        <v>0.75</v>
      </c>
    </row>
    <row r="64">
      <c r="A64" s="1" t="s">
        <v>146</v>
      </c>
      <c r="B64" s="1" t="s">
        <v>146</v>
      </c>
      <c r="C64" s="1" t="s">
        <v>89</v>
      </c>
      <c r="D64" s="1" t="s">
        <v>147</v>
      </c>
      <c r="E64" s="1">
        <v>75.0</v>
      </c>
      <c r="F64" s="3">
        <f t="shared" si="2"/>
        <v>60</v>
      </c>
      <c r="H64" s="1">
        <v>96416.0</v>
      </c>
      <c r="I64" s="1">
        <v>125.0</v>
      </c>
      <c r="J64" s="1">
        <v>345.0</v>
      </c>
      <c r="K64" s="1">
        <v>76.0</v>
      </c>
      <c r="L64" s="4">
        <f t="shared" ref="L64:O64" si="64">if($G64=0,H64/$F64,H64/$F64/$G64)</f>
        <v>1606.933333</v>
      </c>
      <c r="M64" s="4">
        <f t="shared" si="64"/>
        <v>2.083333333</v>
      </c>
      <c r="N64" s="4">
        <f t="shared" si="64"/>
        <v>5.75</v>
      </c>
      <c r="O64" s="4">
        <f t="shared" si="64"/>
        <v>1.266666667</v>
      </c>
    </row>
    <row r="65">
      <c r="A65" s="1" t="s">
        <v>148</v>
      </c>
      <c r="B65" s="1" t="s">
        <v>148</v>
      </c>
      <c r="C65" s="1" t="s">
        <v>89</v>
      </c>
      <c r="D65" s="1" t="s">
        <v>149</v>
      </c>
      <c r="E65" s="1">
        <v>75.0</v>
      </c>
      <c r="F65" s="3">
        <f t="shared" si="2"/>
        <v>60</v>
      </c>
      <c r="H65" s="1">
        <v>91667.0</v>
      </c>
      <c r="I65" s="1">
        <v>130.0</v>
      </c>
      <c r="J65" s="1">
        <v>358.0</v>
      </c>
      <c r="K65" s="1">
        <v>72.0</v>
      </c>
      <c r="L65" s="4">
        <f t="shared" ref="L65:O65" si="65">if($G65=0,H65/$F65,H65/$F65/$G65)</f>
        <v>1527.783333</v>
      </c>
      <c r="M65" s="4">
        <f t="shared" si="65"/>
        <v>2.166666667</v>
      </c>
      <c r="N65" s="4">
        <f t="shared" si="65"/>
        <v>5.966666667</v>
      </c>
      <c r="O65" s="4">
        <f t="shared" si="65"/>
        <v>1.2</v>
      </c>
    </row>
    <row r="66">
      <c r="A66" s="1" t="s">
        <v>150</v>
      </c>
      <c r="B66" s="1" t="s">
        <v>150</v>
      </c>
      <c r="C66" s="1" t="s">
        <v>89</v>
      </c>
      <c r="D66" s="1" t="s">
        <v>151</v>
      </c>
      <c r="E66" s="1">
        <v>75.0</v>
      </c>
      <c r="F66" s="3">
        <f t="shared" si="2"/>
        <v>60</v>
      </c>
      <c r="H66" s="1">
        <v>90021.0</v>
      </c>
      <c r="I66" s="1">
        <v>110.0</v>
      </c>
      <c r="J66" s="1">
        <v>337.0</v>
      </c>
      <c r="K66" s="1">
        <v>70.0</v>
      </c>
      <c r="L66" s="4">
        <f t="shared" ref="L66:O66" si="66">if($G66=0,H66/$F66,H66/$F66/$G66)</f>
        <v>1500.35</v>
      </c>
      <c r="M66" s="4">
        <f t="shared" si="66"/>
        <v>1.833333333</v>
      </c>
      <c r="N66" s="4">
        <f t="shared" si="66"/>
        <v>5.616666667</v>
      </c>
      <c r="O66" s="4">
        <f t="shared" si="66"/>
        <v>1.166666667</v>
      </c>
    </row>
    <row r="67">
      <c r="A67" s="1" t="s">
        <v>152</v>
      </c>
      <c r="B67" s="1" t="s">
        <v>152</v>
      </c>
      <c r="C67" s="1" t="s">
        <v>89</v>
      </c>
      <c r="D67" s="1" t="s">
        <v>153</v>
      </c>
      <c r="E67" s="1">
        <v>75.0</v>
      </c>
      <c r="F67" s="3">
        <f t="shared" si="2"/>
        <v>60</v>
      </c>
      <c r="H67" s="1">
        <v>88843.0</v>
      </c>
      <c r="I67" s="1">
        <v>110.0</v>
      </c>
      <c r="J67" s="1">
        <v>331.0</v>
      </c>
      <c r="K67" s="1">
        <v>64.0</v>
      </c>
      <c r="L67" s="4">
        <f t="shared" ref="L67:O67" si="67">if($G67=0,H67/$F67,H67/$F67/$G67)</f>
        <v>1480.716667</v>
      </c>
      <c r="M67" s="4">
        <f t="shared" si="67"/>
        <v>1.833333333</v>
      </c>
      <c r="N67" s="4">
        <f t="shared" si="67"/>
        <v>5.516666667</v>
      </c>
      <c r="O67" s="4">
        <f t="shared" si="67"/>
        <v>1.066666667</v>
      </c>
    </row>
    <row r="68">
      <c r="A68" s="1" t="s">
        <v>154</v>
      </c>
      <c r="B68" s="1" t="s">
        <v>154</v>
      </c>
      <c r="C68" s="1" t="s">
        <v>89</v>
      </c>
      <c r="D68" s="1" t="s">
        <v>155</v>
      </c>
      <c r="E68" s="1">
        <v>75.0</v>
      </c>
      <c r="F68" s="3">
        <f t="shared" si="2"/>
        <v>60</v>
      </c>
      <c r="H68" s="1">
        <v>87153.0</v>
      </c>
      <c r="I68" s="1">
        <v>164.0</v>
      </c>
      <c r="J68" s="1">
        <v>301.0</v>
      </c>
      <c r="K68" s="1">
        <v>77.0</v>
      </c>
      <c r="L68" s="4">
        <f t="shared" ref="L68:O68" si="68">if($G68=0,H68/$F68,H68/$F68/$G68)</f>
        <v>1452.55</v>
      </c>
      <c r="M68" s="4">
        <f t="shared" si="68"/>
        <v>2.733333333</v>
      </c>
      <c r="N68" s="4">
        <f t="shared" si="68"/>
        <v>5.016666667</v>
      </c>
      <c r="O68" s="4">
        <f t="shared" si="68"/>
        <v>1.283333333</v>
      </c>
    </row>
    <row r="69">
      <c r="A69" s="1" t="s">
        <v>156</v>
      </c>
      <c r="B69" s="1" t="s">
        <v>156</v>
      </c>
      <c r="C69" s="1" t="s">
        <v>89</v>
      </c>
      <c r="D69" s="1" t="s">
        <v>157</v>
      </c>
      <c r="E69" s="1">
        <v>75.0</v>
      </c>
      <c r="F69" s="3">
        <f t="shared" si="2"/>
        <v>60</v>
      </c>
      <c r="H69" s="1">
        <v>84698.0</v>
      </c>
      <c r="I69" s="1">
        <v>86.0</v>
      </c>
      <c r="J69" s="1">
        <v>292.0</v>
      </c>
      <c r="K69" s="1">
        <v>67.0</v>
      </c>
      <c r="L69" s="4">
        <f t="shared" ref="L69:O69" si="69">if($G69=0,H69/$F69,H69/$F69/$G69)</f>
        <v>1411.633333</v>
      </c>
      <c r="M69" s="4">
        <f t="shared" si="69"/>
        <v>1.433333333</v>
      </c>
      <c r="N69" s="4">
        <f t="shared" si="69"/>
        <v>4.866666667</v>
      </c>
      <c r="O69" s="4">
        <f t="shared" si="69"/>
        <v>1.116666667</v>
      </c>
    </row>
    <row r="70">
      <c r="A70" s="1" t="s">
        <v>158</v>
      </c>
      <c r="B70" s="1" t="s">
        <v>158</v>
      </c>
      <c r="C70" s="1" t="s">
        <v>89</v>
      </c>
      <c r="D70" s="1" t="s">
        <v>159</v>
      </c>
      <c r="E70" s="1">
        <v>75.0</v>
      </c>
      <c r="F70" s="3">
        <f t="shared" si="2"/>
        <v>60</v>
      </c>
      <c r="H70" s="1">
        <v>85056.0</v>
      </c>
      <c r="I70" s="1">
        <v>129.0</v>
      </c>
      <c r="J70" s="1">
        <v>345.0</v>
      </c>
      <c r="K70" s="1">
        <v>78.0</v>
      </c>
      <c r="L70" s="4">
        <f t="shared" ref="L70:O70" si="70">if($G70=0,H70/$F70,H70/$F70/$G70)</f>
        <v>1417.6</v>
      </c>
      <c r="M70" s="4">
        <f t="shared" si="70"/>
        <v>2.15</v>
      </c>
      <c r="N70" s="4">
        <f t="shared" si="70"/>
        <v>5.75</v>
      </c>
      <c r="O70" s="4">
        <f t="shared" si="70"/>
        <v>1.3</v>
      </c>
    </row>
    <row r="71">
      <c r="A71" s="1" t="s">
        <v>160</v>
      </c>
      <c r="B71" s="1" t="s">
        <v>160</v>
      </c>
      <c r="C71" s="1" t="s">
        <v>89</v>
      </c>
      <c r="D71" s="1" t="s">
        <v>161</v>
      </c>
      <c r="E71" s="1">
        <v>75.0</v>
      </c>
      <c r="F71" s="3">
        <f t="shared" si="2"/>
        <v>60</v>
      </c>
      <c r="H71" s="1">
        <v>83918.0</v>
      </c>
      <c r="I71" s="1">
        <v>105.0</v>
      </c>
      <c r="J71" s="1">
        <v>339.0</v>
      </c>
      <c r="K71" s="1">
        <v>60.0</v>
      </c>
      <c r="L71" s="4">
        <f t="shared" ref="L71:O71" si="71">if($G71=0,H71/$F71,H71/$F71/$G71)</f>
        <v>1398.633333</v>
      </c>
      <c r="M71" s="4">
        <f t="shared" si="71"/>
        <v>1.75</v>
      </c>
      <c r="N71" s="4">
        <f t="shared" si="71"/>
        <v>5.65</v>
      </c>
      <c r="O71" s="4">
        <f t="shared" si="71"/>
        <v>1</v>
      </c>
    </row>
    <row r="72">
      <c r="A72" s="1" t="s">
        <v>162</v>
      </c>
      <c r="B72" s="1" t="s">
        <v>162</v>
      </c>
      <c r="C72" s="1" t="s">
        <v>89</v>
      </c>
      <c r="D72" s="1" t="s">
        <v>163</v>
      </c>
      <c r="E72" s="1">
        <v>75.0</v>
      </c>
      <c r="F72" s="3">
        <f t="shared" si="2"/>
        <v>60</v>
      </c>
      <c r="H72" s="1">
        <v>81640.0</v>
      </c>
      <c r="I72" s="1">
        <v>97.0</v>
      </c>
      <c r="J72" s="1">
        <v>327.0</v>
      </c>
      <c r="K72" s="1">
        <v>67.0</v>
      </c>
      <c r="L72" s="4">
        <f t="shared" ref="L72:O72" si="72">if($G72=0,H72/$F72,H72/$F72/$G72)</f>
        <v>1360.666667</v>
      </c>
      <c r="M72" s="4">
        <f t="shared" si="72"/>
        <v>1.616666667</v>
      </c>
      <c r="N72" s="4">
        <f t="shared" si="72"/>
        <v>5.45</v>
      </c>
      <c r="O72" s="4">
        <f t="shared" si="72"/>
        <v>1.116666667</v>
      </c>
    </row>
    <row r="73">
      <c r="A73" s="1" t="s">
        <v>164</v>
      </c>
      <c r="B73" s="1" t="s">
        <v>164</v>
      </c>
      <c r="C73" s="1" t="s">
        <v>89</v>
      </c>
      <c r="D73" s="1" t="s">
        <v>165</v>
      </c>
      <c r="E73" s="1">
        <v>75.0</v>
      </c>
      <c r="F73" s="3">
        <f t="shared" si="2"/>
        <v>60</v>
      </c>
      <c r="H73" s="1">
        <v>81208.0</v>
      </c>
      <c r="I73" s="1">
        <v>91.0</v>
      </c>
      <c r="J73" s="1">
        <v>334.0</v>
      </c>
      <c r="K73" s="1">
        <v>69.0</v>
      </c>
      <c r="L73" s="4">
        <f t="shared" ref="L73:O73" si="73">if($G73=0,H73/$F73,H73/$F73/$G73)</f>
        <v>1353.466667</v>
      </c>
      <c r="M73" s="4">
        <f t="shared" si="73"/>
        <v>1.516666667</v>
      </c>
      <c r="N73" s="4">
        <f t="shared" si="73"/>
        <v>5.566666667</v>
      </c>
      <c r="O73" s="4">
        <f t="shared" si="73"/>
        <v>1.15</v>
      </c>
    </row>
    <row r="74">
      <c r="A74" s="1" t="s">
        <v>166</v>
      </c>
      <c r="B74" s="1" t="s">
        <v>166</v>
      </c>
      <c r="C74" s="1" t="s">
        <v>89</v>
      </c>
      <c r="D74" s="1" t="s">
        <v>167</v>
      </c>
      <c r="E74" s="1">
        <v>75.0</v>
      </c>
      <c r="F74" s="3">
        <f t="shared" si="2"/>
        <v>60</v>
      </c>
      <c r="H74" s="1">
        <v>79969.0</v>
      </c>
      <c r="I74" s="1">
        <v>114.0</v>
      </c>
      <c r="J74" s="1">
        <v>291.0</v>
      </c>
      <c r="K74" s="1">
        <v>74.0</v>
      </c>
      <c r="L74" s="4">
        <f t="shared" ref="L74:O74" si="74">if($G74=0,H74/$F74,H74/$F74/$G74)</f>
        <v>1332.816667</v>
      </c>
      <c r="M74" s="4">
        <f t="shared" si="74"/>
        <v>1.9</v>
      </c>
      <c r="N74" s="4">
        <f t="shared" si="74"/>
        <v>4.85</v>
      </c>
      <c r="O74" s="4">
        <f t="shared" si="74"/>
        <v>1.233333333</v>
      </c>
    </row>
    <row r="75">
      <c r="A75" s="1" t="s">
        <v>168</v>
      </c>
      <c r="B75" s="1" t="s">
        <v>168</v>
      </c>
      <c r="C75" s="1" t="s">
        <v>169</v>
      </c>
      <c r="D75" s="1" t="s">
        <v>170</v>
      </c>
      <c r="E75" s="1">
        <v>75.1</v>
      </c>
      <c r="F75" s="3">
        <f t="shared" si="2"/>
        <v>60.1</v>
      </c>
      <c r="H75" s="1">
        <v>71744.0</v>
      </c>
      <c r="I75" s="1">
        <v>97.0</v>
      </c>
      <c r="J75" s="1">
        <v>327.0</v>
      </c>
      <c r="K75" s="1">
        <v>98.0</v>
      </c>
      <c r="L75" s="4">
        <f t="shared" ref="L75:O75" si="75">if($G75=0,H75/$F75,H75/$F75/$G75)</f>
        <v>1193.74376</v>
      </c>
      <c r="M75" s="4">
        <f t="shared" si="75"/>
        <v>1.613976705</v>
      </c>
      <c r="N75" s="4">
        <f t="shared" si="75"/>
        <v>5.44093178</v>
      </c>
      <c r="O75" s="4">
        <f t="shared" si="75"/>
        <v>1.630615641</v>
      </c>
    </row>
    <row r="76">
      <c r="A76" s="1" t="s">
        <v>171</v>
      </c>
      <c r="B76" s="1" t="s">
        <v>171</v>
      </c>
      <c r="C76" s="1" t="s">
        <v>169</v>
      </c>
      <c r="D76" s="1" t="s">
        <v>172</v>
      </c>
      <c r="E76" s="1">
        <v>75.0</v>
      </c>
      <c r="F76" s="3">
        <f t="shared" si="2"/>
        <v>60</v>
      </c>
      <c r="H76" s="1">
        <v>73889.0</v>
      </c>
      <c r="I76" s="1">
        <v>86.0</v>
      </c>
      <c r="J76" s="1">
        <v>349.0</v>
      </c>
      <c r="K76" s="1">
        <v>67.0</v>
      </c>
      <c r="L76" s="4">
        <f t="shared" ref="L76:O76" si="76">if($G76=0,H76/$F76,H76/$F76/$G76)</f>
        <v>1231.483333</v>
      </c>
      <c r="M76" s="4">
        <f t="shared" si="76"/>
        <v>1.433333333</v>
      </c>
      <c r="N76" s="4">
        <f t="shared" si="76"/>
        <v>5.816666667</v>
      </c>
      <c r="O76" s="4">
        <f t="shared" si="76"/>
        <v>1.116666667</v>
      </c>
    </row>
    <row r="77">
      <c r="A77" s="1" t="s">
        <v>173</v>
      </c>
      <c r="B77" s="1" t="s">
        <v>173</v>
      </c>
      <c r="C77" s="1" t="s">
        <v>169</v>
      </c>
      <c r="D77" s="1" t="s">
        <v>174</v>
      </c>
      <c r="E77" s="1">
        <v>75.0</v>
      </c>
      <c r="F77" s="3">
        <f t="shared" si="2"/>
        <v>60</v>
      </c>
      <c r="H77" s="1">
        <v>72941.0</v>
      </c>
      <c r="I77" s="1">
        <v>88.0</v>
      </c>
      <c r="J77" s="1">
        <v>365.0</v>
      </c>
      <c r="K77" s="1">
        <v>81.0</v>
      </c>
      <c r="L77" s="4">
        <f t="shared" ref="L77:O77" si="77">if($G77=0,H77/$F77,H77/$F77/$G77)</f>
        <v>1215.683333</v>
      </c>
      <c r="M77" s="4">
        <f t="shared" si="77"/>
        <v>1.466666667</v>
      </c>
      <c r="N77" s="4">
        <f t="shared" si="77"/>
        <v>6.083333333</v>
      </c>
      <c r="O77" s="4">
        <f t="shared" si="77"/>
        <v>1.35</v>
      </c>
    </row>
    <row r="78">
      <c r="A78" s="1" t="s">
        <v>175</v>
      </c>
      <c r="B78" s="1" t="s">
        <v>175</v>
      </c>
      <c r="C78" s="1" t="s">
        <v>169</v>
      </c>
      <c r="D78" s="1" t="s">
        <v>176</v>
      </c>
      <c r="E78" s="1">
        <v>75.0</v>
      </c>
      <c r="F78" s="3">
        <f t="shared" si="2"/>
        <v>60</v>
      </c>
      <c r="H78" s="1">
        <v>194337.0</v>
      </c>
      <c r="I78" s="1">
        <v>81.0</v>
      </c>
      <c r="J78" s="1">
        <v>315.0</v>
      </c>
      <c r="K78" s="1">
        <v>77.0</v>
      </c>
      <c r="L78" s="4">
        <f t="shared" ref="L78:O78" si="78">if($G78=0,H78/$F78,H78/$F78/$G78)</f>
        <v>3238.95</v>
      </c>
      <c r="M78" s="4">
        <f t="shared" si="78"/>
        <v>1.35</v>
      </c>
      <c r="N78" s="4">
        <f t="shared" si="78"/>
        <v>5.25</v>
      </c>
      <c r="O78" s="4">
        <f t="shared" si="78"/>
        <v>1.283333333</v>
      </c>
    </row>
    <row r="79">
      <c r="A79" s="1" t="s">
        <v>177</v>
      </c>
      <c r="B79" s="1" t="s">
        <v>177</v>
      </c>
      <c r="C79" s="1" t="s">
        <v>169</v>
      </c>
      <c r="D79" s="1" t="s">
        <v>178</v>
      </c>
      <c r="E79" s="1">
        <v>75.0</v>
      </c>
      <c r="F79" s="3">
        <f t="shared" si="2"/>
        <v>60</v>
      </c>
      <c r="H79" s="1">
        <v>87171.0</v>
      </c>
      <c r="I79" s="1">
        <v>131.0</v>
      </c>
      <c r="J79" s="1">
        <v>361.0</v>
      </c>
      <c r="K79" s="1">
        <v>73.0</v>
      </c>
      <c r="L79" s="4">
        <f t="shared" ref="L79:O79" si="79">if($G79=0,H79/$F79,H79/$F79/$G79)</f>
        <v>1452.85</v>
      </c>
      <c r="M79" s="4">
        <f t="shared" si="79"/>
        <v>2.183333333</v>
      </c>
      <c r="N79" s="4">
        <f t="shared" si="79"/>
        <v>6.016666667</v>
      </c>
      <c r="O79" s="4">
        <f t="shared" si="79"/>
        <v>1.216666667</v>
      </c>
    </row>
    <row r="80">
      <c r="A80" s="1" t="s">
        <v>179</v>
      </c>
      <c r="B80" s="1" t="s">
        <v>179</v>
      </c>
      <c r="C80" s="1" t="s">
        <v>169</v>
      </c>
      <c r="D80" s="1" t="s">
        <v>180</v>
      </c>
      <c r="E80" s="1">
        <v>75.0</v>
      </c>
      <c r="F80" s="3">
        <f t="shared" si="2"/>
        <v>60</v>
      </c>
      <c r="H80" s="1">
        <v>83607.0</v>
      </c>
      <c r="I80" s="1">
        <v>116.0</v>
      </c>
      <c r="J80" s="1">
        <v>365.0</v>
      </c>
      <c r="K80" s="1">
        <v>59.0</v>
      </c>
      <c r="L80" s="4">
        <f t="shared" ref="L80:O80" si="80">if($G80=0,H80/$F80,H80/$F80/$G80)</f>
        <v>1393.45</v>
      </c>
      <c r="M80" s="4">
        <f t="shared" si="80"/>
        <v>1.933333333</v>
      </c>
      <c r="N80" s="4">
        <f t="shared" si="80"/>
        <v>6.083333333</v>
      </c>
      <c r="O80" s="4">
        <f t="shared" si="80"/>
        <v>0.9833333333</v>
      </c>
    </row>
    <row r="81">
      <c r="A81" s="1" t="s">
        <v>181</v>
      </c>
      <c r="B81" s="1" t="s">
        <v>181</v>
      </c>
      <c r="C81" s="1" t="s">
        <v>169</v>
      </c>
      <c r="D81" s="1" t="s">
        <v>182</v>
      </c>
      <c r="E81" s="1">
        <v>75.0</v>
      </c>
      <c r="F81" s="3">
        <f t="shared" si="2"/>
        <v>60</v>
      </c>
      <c r="H81" s="1">
        <v>236741.0</v>
      </c>
      <c r="I81" s="1">
        <v>92.0</v>
      </c>
      <c r="J81" s="1">
        <v>348.0</v>
      </c>
      <c r="K81" s="1">
        <v>70.0</v>
      </c>
      <c r="L81" s="4">
        <f t="shared" ref="L81:O81" si="81">if($G81=0,H81/$F81,H81/$F81/$G81)</f>
        <v>3945.683333</v>
      </c>
      <c r="M81" s="4">
        <f t="shared" si="81"/>
        <v>1.533333333</v>
      </c>
      <c r="N81" s="4">
        <f t="shared" si="81"/>
        <v>5.8</v>
      </c>
      <c r="O81" s="4">
        <f t="shared" si="81"/>
        <v>1.166666667</v>
      </c>
    </row>
    <row r="82">
      <c r="A82" s="1" t="s">
        <v>183</v>
      </c>
      <c r="B82" s="1" t="s">
        <v>183</v>
      </c>
      <c r="C82" s="1" t="s">
        <v>169</v>
      </c>
      <c r="D82" s="1" t="s">
        <v>184</v>
      </c>
      <c r="E82" s="1">
        <v>75.0</v>
      </c>
      <c r="F82" s="3">
        <f t="shared" si="2"/>
        <v>60</v>
      </c>
      <c r="H82" s="1">
        <v>282893.0</v>
      </c>
      <c r="I82" s="1">
        <v>91.0</v>
      </c>
      <c r="J82" s="1">
        <v>304.0</v>
      </c>
      <c r="K82" s="1">
        <v>59.0</v>
      </c>
      <c r="L82" s="4">
        <f t="shared" ref="L82:O82" si="82">if($G82=0,H82/$F82,H82/$F82/$G82)</f>
        <v>4714.883333</v>
      </c>
      <c r="M82" s="4">
        <f t="shared" si="82"/>
        <v>1.516666667</v>
      </c>
      <c r="N82" s="4">
        <f t="shared" si="82"/>
        <v>5.066666667</v>
      </c>
      <c r="O82" s="4">
        <f t="shared" si="82"/>
        <v>0.9833333333</v>
      </c>
    </row>
    <row r="83">
      <c r="A83" s="1" t="s">
        <v>185</v>
      </c>
      <c r="B83" s="1" t="s">
        <v>185</v>
      </c>
      <c r="C83" s="1" t="s">
        <v>169</v>
      </c>
      <c r="D83" s="1" t="s">
        <v>186</v>
      </c>
      <c r="E83" s="1">
        <v>75.0</v>
      </c>
      <c r="F83" s="3">
        <f t="shared" si="2"/>
        <v>60</v>
      </c>
      <c r="H83" s="1">
        <v>435341.0</v>
      </c>
      <c r="I83" s="1">
        <v>93.0</v>
      </c>
      <c r="J83" s="1">
        <v>280.0</v>
      </c>
      <c r="K83" s="1">
        <v>63.0</v>
      </c>
      <c r="L83" s="4">
        <f t="shared" ref="L83:O83" si="83">if($G83=0,H83/$F83,H83/$F83/$G83)</f>
        <v>7255.683333</v>
      </c>
      <c r="M83" s="4">
        <f t="shared" si="83"/>
        <v>1.55</v>
      </c>
      <c r="N83" s="4">
        <f t="shared" si="83"/>
        <v>4.666666667</v>
      </c>
      <c r="O83" s="4">
        <f t="shared" si="83"/>
        <v>1.05</v>
      </c>
    </row>
    <row r="84">
      <c r="A84" s="1" t="s">
        <v>187</v>
      </c>
      <c r="B84" s="1" t="s">
        <v>187</v>
      </c>
      <c r="C84" s="1" t="s">
        <v>169</v>
      </c>
      <c r="D84" s="1" t="s">
        <v>188</v>
      </c>
      <c r="E84" s="1">
        <v>75.0</v>
      </c>
      <c r="F84" s="3">
        <f t="shared" si="2"/>
        <v>60</v>
      </c>
      <c r="H84" s="1">
        <v>282585.0</v>
      </c>
      <c r="I84" s="1">
        <v>80.0</v>
      </c>
      <c r="J84" s="1">
        <v>311.0</v>
      </c>
      <c r="K84" s="1">
        <v>53.0</v>
      </c>
      <c r="L84" s="4">
        <f t="shared" ref="L84:O84" si="84">if($G84=0,H84/$F84,H84/$F84/$G84)</f>
        <v>4709.75</v>
      </c>
      <c r="M84" s="4">
        <f t="shared" si="84"/>
        <v>1.333333333</v>
      </c>
      <c r="N84" s="4">
        <f t="shared" si="84"/>
        <v>5.183333333</v>
      </c>
      <c r="O84" s="4">
        <f t="shared" si="84"/>
        <v>0.8833333333</v>
      </c>
    </row>
    <row r="85">
      <c r="A85" s="1" t="s">
        <v>189</v>
      </c>
      <c r="B85" s="1" t="s">
        <v>189</v>
      </c>
      <c r="C85" s="1" t="s">
        <v>169</v>
      </c>
      <c r="D85" s="1" t="s">
        <v>190</v>
      </c>
      <c r="E85" s="1">
        <v>75.0</v>
      </c>
      <c r="F85" s="3">
        <f t="shared" si="2"/>
        <v>60</v>
      </c>
      <c r="H85" s="1">
        <v>279674.0</v>
      </c>
      <c r="I85" s="1">
        <v>141.0</v>
      </c>
      <c r="J85" s="1">
        <v>320.0</v>
      </c>
      <c r="K85" s="1">
        <v>67.0</v>
      </c>
      <c r="L85" s="4">
        <f t="shared" ref="L85:O85" si="85">if($G85=0,H85/$F85,H85/$F85/$G85)</f>
        <v>4661.233333</v>
      </c>
      <c r="M85" s="4">
        <f t="shared" si="85"/>
        <v>2.35</v>
      </c>
      <c r="N85" s="4">
        <f t="shared" si="85"/>
        <v>5.333333333</v>
      </c>
      <c r="O85" s="4">
        <f t="shared" si="85"/>
        <v>1.116666667</v>
      </c>
    </row>
    <row r="86">
      <c r="A86" s="5" t="s">
        <v>191</v>
      </c>
      <c r="B86" s="7" t="s">
        <v>192</v>
      </c>
      <c r="C86" s="1" t="s">
        <v>169</v>
      </c>
      <c r="D86" s="1" t="s">
        <v>193</v>
      </c>
      <c r="E86" s="1">
        <v>75.0</v>
      </c>
      <c r="F86" s="3">
        <f t="shared" si="2"/>
        <v>60</v>
      </c>
      <c r="G86" s="1">
        <v>0.2</v>
      </c>
      <c r="H86" s="1">
        <v>157653.0</v>
      </c>
      <c r="I86" s="1">
        <v>23.0</v>
      </c>
      <c r="J86" s="1">
        <v>63.0</v>
      </c>
      <c r="K86" s="1">
        <v>12.0</v>
      </c>
      <c r="L86" s="4">
        <f t="shared" ref="L86:O86" si="86">if($G86=0,H86/$F86,H86/$F86/$G86)</f>
        <v>13137.75</v>
      </c>
      <c r="M86" s="4">
        <f t="shared" si="86"/>
        <v>1.916666667</v>
      </c>
      <c r="N86" s="4">
        <f t="shared" si="86"/>
        <v>5.25</v>
      </c>
      <c r="O86" s="4">
        <f t="shared" si="86"/>
        <v>1</v>
      </c>
    </row>
    <row r="87">
      <c r="A87" s="5" t="s">
        <v>194</v>
      </c>
      <c r="B87" s="6" t="s">
        <v>195</v>
      </c>
      <c r="C87" s="1" t="s">
        <v>169</v>
      </c>
      <c r="D87" s="1" t="s">
        <v>196</v>
      </c>
      <c r="E87" s="1">
        <v>75.0</v>
      </c>
      <c r="F87" s="3">
        <f t="shared" si="2"/>
        <v>60</v>
      </c>
      <c r="G87" s="1">
        <v>0.2</v>
      </c>
      <c r="H87" s="1">
        <v>18399.0</v>
      </c>
      <c r="I87" s="1">
        <v>43.0</v>
      </c>
      <c r="J87" s="1">
        <v>50.0</v>
      </c>
      <c r="K87" s="1">
        <v>17.0</v>
      </c>
      <c r="L87" s="4">
        <f t="shared" ref="L87:O87" si="87">if($G87=0,H87/$F87,H87/$F87/$G87)</f>
        <v>1533.25</v>
      </c>
      <c r="M87" s="4">
        <f t="shared" si="87"/>
        <v>3.583333333</v>
      </c>
      <c r="N87" s="4">
        <f t="shared" si="87"/>
        <v>4.166666667</v>
      </c>
      <c r="O87" s="4">
        <f t="shared" si="87"/>
        <v>1.416666667</v>
      </c>
    </row>
    <row r="88">
      <c r="A88" s="5" t="s">
        <v>197</v>
      </c>
      <c r="B88" s="7" t="s">
        <v>198</v>
      </c>
      <c r="C88" s="1" t="s">
        <v>169</v>
      </c>
      <c r="D88" s="1" t="s">
        <v>199</v>
      </c>
      <c r="E88" s="1">
        <v>75.0</v>
      </c>
      <c r="F88" s="3">
        <f t="shared" si="2"/>
        <v>60</v>
      </c>
      <c r="G88" s="1">
        <v>0.2</v>
      </c>
      <c r="H88" s="1">
        <v>190890.0</v>
      </c>
      <c r="I88" s="1">
        <v>36.0</v>
      </c>
      <c r="J88" s="1">
        <v>65.0</v>
      </c>
      <c r="K88" s="1">
        <v>8.0</v>
      </c>
      <c r="L88" s="4">
        <f t="shared" ref="L88:O88" si="88">if($G88=0,H88/$F88,H88/$F88/$G88)</f>
        <v>15907.5</v>
      </c>
      <c r="M88" s="4">
        <f t="shared" si="88"/>
        <v>3</v>
      </c>
      <c r="N88" s="4">
        <f t="shared" si="88"/>
        <v>5.416666667</v>
      </c>
      <c r="O88" s="4">
        <f t="shared" si="88"/>
        <v>0.6666666667</v>
      </c>
    </row>
    <row r="89">
      <c r="A89" s="1" t="s">
        <v>200</v>
      </c>
      <c r="B89" s="1" t="s">
        <v>200</v>
      </c>
      <c r="C89" s="1" t="s">
        <v>169</v>
      </c>
      <c r="D89" s="1" t="s">
        <v>201</v>
      </c>
      <c r="E89" s="1">
        <v>75.0</v>
      </c>
      <c r="F89" s="3">
        <f t="shared" si="2"/>
        <v>60</v>
      </c>
      <c r="H89" s="1">
        <v>96256.0</v>
      </c>
      <c r="I89" s="1">
        <v>76.0</v>
      </c>
      <c r="J89" s="1">
        <v>327.0</v>
      </c>
      <c r="K89" s="1">
        <v>75.0</v>
      </c>
      <c r="L89" s="4">
        <f t="shared" ref="L89:O89" si="89">if($G89=0,H89/$F89,H89/$F89/$G89)</f>
        <v>1604.266667</v>
      </c>
      <c r="M89" s="4">
        <f t="shared" si="89"/>
        <v>1.266666667</v>
      </c>
      <c r="N89" s="4">
        <f t="shared" si="89"/>
        <v>5.45</v>
      </c>
      <c r="O89" s="4">
        <f t="shared" si="89"/>
        <v>1.25</v>
      </c>
    </row>
    <row r="90">
      <c r="A90" s="1" t="s">
        <v>202</v>
      </c>
      <c r="B90" s="1" t="s">
        <v>202</v>
      </c>
      <c r="C90" s="1" t="s">
        <v>169</v>
      </c>
      <c r="D90" s="1" t="s">
        <v>203</v>
      </c>
      <c r="E90" s="1">
        <v>75.0</v>
      </c>
      <c r="F90" s="3">
        <f t="shared" si="2"/>
        <v>60</v>
      </c>
      <c r="H90" s="1">
        <v>92629.0</v>
      </c>
      <c r="I90" s="1">
        <v>109.0</v>
      </c>
      <c r="J90" s="1">
        <v>297.0</v>
      </c>
      <c r="K90" s="1">
        <v>62.0</v>
      </c>
      <c r="L90" s="4">
        <f t="shared" ref="L90:O90" si="90">if($G90=0,H90/$F90,H90/$F90/$G90)</f>
        <v>1543.816667</v>
      </c>
      <c r="M90" s="4">
        <f t="shared" si="90"/>
        <v>1.816666667</v>
      </c>
      <c r="N90" s="4">
        <f t="shared" si="90"/>
        <v>4.95</v>
      </c>
      <c r="O90" s="4">
        <f t="shared" si="90"/>
        <v>1.033333333</v>
      </c>
    </row>
    <row r="91">
      <c r="A91" s="1" t="s">
        <v>204</v>
      </c>
      <c r="B91" s="1" t="s">
        <v>204</v>
      </c>
      <c r="C91" s="1" t="s">
        <v>169</v>
      </c>
      <c r="D91" s="1" t="s">
        <v>205</v>
      </c>
      <c r="E91" s="1">
        <v>75.0</v>
      </c>
      <c r="F91" s="3">
        <f t="shared" si="2"/>
        <v>60</v>
      </c>
      <c r="H91" s="1">
        <v>89831.0</v>
      </c>
      <c r="I91" s="1">
        <v>94.0</v>
      </c>
      <c r="J91" s="1">
        <v>337.0</v>
      </c>
      <c r="K91" s="1">
        <v>74.0</v>
      </c>
      <c r="L91" s="4">
        <f t="shared" ref="L91:O91" si="91">if($G91=0,H91/$F91,H91/$F91/$G91)</f>
        <v>1497.183333</v>
      </c>
      <c r="M91" s="4">
        <f t="shared" si="91"/>
        <v>1.566666667</v>
      </c>
      <c r="N91" s="4">
        <f t="shared" si="91"/>
        <v>5.616666667</v>
      </c>
      <c r="O91" s="4">
        <f t="shared" si="91"/>
        <v>1.233333333</v>
      </c>
    </row>
    <row r="92">
      <c r="A92" s="1" t="s">
        <v>206</v>
      </c>
      <c r="B92" s="1" t="s">
        <v>206</v>
      </c>
      <c r="C92" s="1" t="s">
        <v>169</v>
      </c>
      <c r="D92" s="1" t="s">
        <v>207</v>
      </c>
      <c r="E92" s="1">
        <v>75.0</v>
      </c>
      <c r="F92" s="3">
        <f t="shared" si="2"/>
        <v>60</v>
      </c>
      <c r="H92" s="1">
        <v>225344.0</v>
      </c>
      <c r="I92" s="1">
        <v>106.0</v>
      </c>
      <c r="J92" s="1">
        <v>329.0</v>
      </c>
      <c r="K92" s="1">
        <v>64.0</v>
      </c>
      <c r="L92" s="4">
        <f t="shared" ref="L92:O92" si="92">if($G92=0,H92/$F92,H92/$F92/$G92)</f>
        <v>3755.733333</v>
      </c>
      <c r="M92" s="4">
        <f t="shared" si="92"/>
        <v>1.766666667</v>
      </c>
      <c r="N92" s="4">
        <f t="shared" si="92"/>
        <v>5.483333333</v>
      </c>
      <c r="O92" s="4">
        <f t="shared" si="92"/>
        <v>1.066666667</v>
      </c>
    </row>
    <row r="93">
      <c r="A93" s="7" t="s">
        <v>208</v>
      </c>
      <c r="B93" s="7" t="s">
        <v>208</v>
      </c>
      <c r="C93" s="1" t="s">
        <v>169</v>
      </c>
      <c r="D93" s="1" t="s">
        <v>209</v>
      </c>
      <c r="E93" s="1">
        <v>75.0</v>
      </c>
      <c r="F93" s="3">
        <f t="shared" si="2"/>
        <v>60</v>
      </c>
      <c r="H93" s="1">
        <v>303077.0</v>
      </c>
      <c r="I93" s="1">
        <v>95.0</v>
      </c>
      <c r="J93" s="1">
        <v>253.0</v>
      </c>
      <c r="K93" s="1">
        <v>55.0</v>
      </c>
      <c r="L93" s="4">
        <f t="shared" ref="L93:O93" si="93">if($G93=0,H93/$F93,H93/$F93/$G93)</f>
        <v>5051.283333</v>
      </c>
      <c r="M93" s="4">
        <f t="shared" si="93"/>
        <v>1.583333333</v>
      </c>
      <c r="N93" s="4">
        <f t="shared" si="93"/>
        <v>4.216666667</v>
      </c>
      <c r="O93" s="4">
        <f t="shared" si="93"/>
        <v>0.9166666667</v>
      </c>
    </row>
    <row r="94">
      <c r="A94" s="5" t="s">
        <v>210</v>
      </c>
      <c r="B94" s="5" t="s">
        <v>210</v>
      </c>
      <c r="C94" s="1" t="s">
        <v>169</v>
      </c>
      <c r="D94" s="1" t="s">
        <v>211</v>
      </c>
      <c r="E94" s="1">
        <v>75.0</v>
      </c>
      <c r="F94" s="3">
        <f t="shared" si="2"/>
        <v>60</v>
      </c>
      <c r="H94" s="1">
        <v>370472.0</v>
      </c>
      <c r="I94" s="1">
        <v>61.0</v>
      </c>
      <c r="J94" s="1">
        <v>276.0</v>
      </c>
      <c r="K94" s="1">
        <v>57.0</v>
      </c>
      <c r="L94" s="4">
        <f t="shared" ref="L94:O94" si="94">if($G94=0,H94/$F94,H94/$F94/$G94)</f>
        <v>6174.533333</v>
      </c>
      <c r="M94" s="4">
        <f t="shared" si="94"/>
        <v>1.016666667</v>
      </c>
      <c r="N94" s="4">
        <f t="shared" si="94"/>
        <v>4.6</v>
      </c>
      <c r="O94" s="4">
        <f t="shared" si="94"/>
        <v>0.95</v>
      </c>
    </row>
    <row r="95">
      <c r="A95" s="6" t="s">
        <v>212</v>
      </c>
      <c r="B95" s="6" t="s">
        <v>212</v>
      </c>
      <c r="C95" s="1" t="s">
        <v>169</v>
      </c>
      <c r="D95" s="1" t="s">
        <v>213</v>
      </c>
      <c r="E95" s="1">
        <v>75.0</v>
      </c>
      <c r="F95" s="3">
        <f t="shared" si="2"/>
        <v>60</v>
      </c>
      <c r="H95" s="1">
        <v>377186.0</v>
      </c>
      <c r="I95" s="1">
        <v>88.0</v>
      </c>
      <c r="J95" s="1">
        <v>281.0</v>
      </c>
      <c r="K95" s="1">
        <v>61.0</v>
      </c>
      <c r="L95" s="4">
        <f t="shared" ref="L95:O95" si="95">if($G95=0,H95/$F95,H95/$F95/$G95)</f>
        <v>6286.433333</v>
      </c>
      <c r="M95" s="4">
        <f t="shared" si="95"/>
        <v>1.466666667</v>
      </c>
      <c r="N95" s="4">
        <f t="shared" si="95"/>
        <v>4.683333333</v>
      </c>
      <c r="O95" s="4">
        <f t="shared" si="95"/>
        <v>1.016666667</v>
      </c>
    </row>
    <row r="96">
      <c r="A96" s="6" t="s">
        <v>214</v>
      </c>
      <c r="B96" s="6" t="s">
        <v>214</v>
      </c>
      <c r="C96" s="1" t="s">
        <v>169</v>
      </c>
      <c r="D96" s="1" t="s">
        <v>215</v>
      </c>
      <c r="E96" s="1">
        <v>75.0</v>
      </c>
      <c r="F96" s="3">
        <f t="shared" si="2"/>
        <v>60</v>
      </c>
      <c r="H96" s="1">
        <v>375751.0</v>
      </c>
      <c r="I96" s="1">
        <v>55.0</v>
      </c>
      <c r="J96" s="1">
        <v>270.0</v>
      </c>
      <c r="K96" s="1">
        <v>53.0</v>
      </c>
      <c r="L96" s="4">
        <f t="shared" ref="L96:O96" si="96">if($G96=0,H96/$F96,H96/$F96/$G96)</f>
        <v>6262.516667</v>
      </c>
      <c r="M96" s="4">
        <f t="shared" si="96"/>
        <v>0.9166666667</v>
      </c>
      <c r="N96" s="4">
        <f t="shared" si="96"/>
        <v>4.5</v>
      </c>
      <c r="O96" s="4">
        <f t="shared" si="96"/>
        <v>0.8833333333</v>
      </c>
    </row>
    <row r="97">
      <c r="A97" s="5" t="s">
        <v>216</v>
      </c>
      <c r="B97" s="5" t="s">
        <v>217</v>
      </c>
      <c r="C97" s="1" t="s">
        <v>169</v>
      </c>
      <c r="D97" s="1" t="s">
        <v>218</v>
      </c>
      <c r="E97" s="1">
        <v>75.0</v>
      </c>
      <c r="F97" s="3">
        <f t="shared" si="2"/>
        <v>60</v>
      </c>
      <c r="G97" s="1">
        <v>0.2</v>
      </c>
      <c r="H97" s="1">
        <v>149122.0</v>
      </c>
      <c r="I97" s="1">
        <v>21.0</v>
      </c>
      <c r="J97" s="1">
        <v>55.0</v>
      </c>
      <c r="K97" s="1">
        <v>15.0</v>
      </c>
      <c r="L97" s="4">
        <f t="shared" ref="L97:O97" si="97">if($G97=0,H97/$F97,H97/$F97/$G97)</f>
        <v>12426.83333</v>
      </c>
      <c r="M97" s="4">
        <f t="shared" si="97"/>
        <v>1.75</v>
      </c>
      <c r="N97" s="4">
        <f t="shared" si="97"/>
        <v>4.583333333</v>
      </c>
      <c r="O97" s="4">
        <f t="shared" si="97"/>
        <v>1.25</v>
      </c>
    </row>
    <row r="98">
      <c r="A98" s="5" t="s">
        <v>219</v>
      </c>
      <c r="B98" s="6" t="s">
        <v>220</v>
      </c>
      <c r="C98" s="1" t="s">
        <v>169</v>
      </c>
      <c r="D98" s="1" t="s">
        <v>221</v>
      </c>
      <c r="E98" s="1">
        <v>75.0</v>
      </c>
      <c r="F98" s="3">
        <f t="shared" si="2"/>
        <v>60</v>
      </c>
      <c r="G98" s="1">
        <v>0.2</v>
      </c>
      <c r="H98" s="1">
        <v>236700.0</v>
      </c>
      <c r="I98" s="1">
        <v>22.0</v>
      </c>
      <c r="J98" s="1">
        <v>51.0</v>
      </c>
      <c r="K98" s="1">
        <v>13.0</v>
      </c>
      <c r="L98" s="4">
        <f t="shared" ref="L98:O98" si="98">if($G98=0,H98/$F98,H98/$F98/$G98)</f>
        <v>19725</v>
      </c>
      <c r="M98" s="4">
        <f t="shared" si="98"/>
        <v>1.833333333</v>
      </c>
      <c r="N98" s="4">
        <f t="shared" si="98"/>
        <v>4.25</v>
      </c>
      <c r="O98" s="4">
        <f t="shared" si="98"/>
        <v>1.083333333</v>
      </c>
    </row>
    <row r="99">
      <c r="A99" s="5" t="s">
        <v>219</v>
      </c>
      <c r="B99" s="7" t="s">
        <v>220</v>
      </c>
      <c r="C99" s="1" t="s">
        <v>169</v>
      </c>
      <c r="D99" s="1" t="s">
        <v>222</v>
      </c>
      <c r="E99" s="1">
        <v>75.0</v>
      </c>
      <c r="F99" s="3">
        <f t="shared" si="2"/>
        <v>60</v>
      </c>
      <c r="G99" s="1">
        <v>0.2</v>
      </c>
      <c r="H99" s="1">
        <v>280673.0</v>
      </c>
      <c r="I99" s="1">
        <v>28.0</v>
      </c>
      <c r="J99" s="1">
        <v>62.0</v>
      </c>
      <c r="K99" s="1">
        <v>11.0</v>
      </c>
      <c r="L99" s="4">
        <f t="shared" ref="L99:O99" si="99">if($G99=0,H99/$F99,H99/$F99/$G99)</f>
        <v>23389.41667</v>
      </c>
      <c r="M99" s="4">
        <f t="shared" si="99"/>
        <v>2.333333333</v>
      </c>
      <c r="N99" s="4">
        <f t="shared" si="99"/>
        <v>5.166666667</v>
      </c>
      <c r="O99" s="4">
        <f t="shared" si="99"/>
        <v>0.9166666667</v>
      </c>
    </row>
    <row r="100">
      <c r="A100" s="7" t="s">
        <v>223</v>
      </c>
      <c r="B100" s="7" t="s">
        <v>223</v>
      </c>
      <c r="C100" s="1" t="s">
        <v>169</v>
      </c>
      <c r="D100" s="1" t="s">
        <v>224</v>
      </c>
      <c r="E100" s="1">
        <v>75.0</v>
      </c>
      <c r="F100" s="3">
        <f t="shared" si="2"/>
        <v>60</v>
      </c>
      <c r="H100" s="1">
        <v>111908.0</v>
      </c>
      <c r="I100" s="1">
        <v>91.0</v>
      </c>
      <c r="J100" s="1">
        <v>269.0</v>
      </c>
      <c r="K100" s="1">
        <v>70.0</v>
      </c>
      <c r="L100" s="4">
        <f t="shared" ref="L100:O100" si="100">if($G100=0,H100/$F100,H100/$F100/$G100)</f>
        <v>1865.133333</v>
      </c>
      <c r="M100" s="4">
        <f t="shared" si="100"/>
        <v>1.516666667</v>
      </c>
      <c r="N100" s="4">
        <f t="shared" si="100"/>
        <v>4.483333333</v>
      </c>
      <c r="O100" s="4">
        <f t="shared" si="100"/>
        <v>1.166666667</v>
      </c>
    </row>
    <row r="101">
      <c r="A101" s="5" t="s">
        <v>225</v>
      </c>
      <c r="B101" s="5" t="s">
        <v>225</v>
      </c>
      <c r="C101" s="1" t="s">
        <v>169</v>
      </c>
      <c r="D101" s="1" t="s">
        <v>226</v>
      </c>
      <c r="E101" s="1">
        <v>75.0</v>
      </c>
      <c r="F101" s="3">
        <f t="shared" si="2"/>
        <v>60</v>
      </c>
      <c r="H101" s="1">
        <v>113627.0</v>
      </c>
      <c r="I101" s="1">
        <v>95.0</v>
      </c>
      <c r="J101" s="1">
        <v>276.0</v>
      </c>
      <c r="K101" s="1">
        <v>51.0</v>
      </c>
      <c r="L101" s="4">
        <f t="shared" ref="L101:O101" si="101">if($G101=0,H101/$F101,H101/$F101/$G101)</f>
        <v>1893.783333</v>
      </c>
      <c r="M101" s="4">
        <f t="shared" si="101"/>
        <v>1.583333333</v>
      </c>
      <c r="N101" s="4">
        <f t="shared" si="101"/>
        <v>4.6</v>
      </c>
      <c r="O101" s="4">
        <f t="shared" si="101"/>
        <v>0.85</v>
      </c>
    </row>
    <row r="102">
      <c r="A102" s="6" t="s">
        <v>227</v>
      </c>
      <c r="B102" s="6" t="s">
        <v>227</v>
      </c>
      <c r="C102" s="1" t="s">
        <v>169</v>
      </c>
      <c r="D102" s="1" t="s">
        <v>228</v>
      </c>
      <c r="E102" s="1">
        <v>75.0</v>
      </c>
      <c r="F102" s="3">
        <f t="shared" si="2"/>
        <v>60</v>
      </c>
      <c r="H102" s="1">
        <v>116175.0</v>
      </c>
      <c r="I102" s="1">
        <v>102.0</v>
      </c>
      <c r="J102" s="1">
        <v>288.0</v>
      </c>
      <c r="K102" s="1">
        <v>75.0</v>
      </c>
      <c r="L102" s="4">
        <f t="shared" ref="L102:O102" si="102">if($G102=0,H102/$F102,H102/$F102/$G102)</f>
        <v>1936.25</v>
      </c>
      <c r="M102" s="4">
        <f t="shared" si="102"/>
        <v>1.7</v>
      </c>
      <c r="N102" s="4">
        <f t="shared" si="102"/>
        <v>4.8</v>
      </c>
      <c r="O102" s="4">
        <f t="shared" si="102"/>
        <v>1.25</v>
      </c>
    </row>
    <row r="103">
      <c r="A103" s="6" t="s">
        <v>229</v>
      </c>
      <c r="B103" s="6" t="s">
        <v>229</v>
      </c>
      <c r="C103" s="1" t="s">
        <v>169</v>
      </c>
      <c r="D103" s="1" t="s">
        <v>230</v>
      </c>
      <c r="E103" s="1">
        <v>75.0</v>
      </c>
      <c r="F103" s="3">
        <f t="shared" si="2"/>
        <v>60</v>
      </c>
      <c r="H103" s="1">
        <v>118788.0</v>
      </c>
      <c r="I103" s="1">
        <v>97.0</v>
      </c>
      <c r="J103" s="1">
        <v>271.0</v>
      </c>
      <c r="K103" s="1">
        <v>76.0</v>
      </c>
      <c r="L103" s="4">
        <f t="shared" ref="L103:O103" si="103">if($G103=0,H103/$F103,H103/$F103/$G103)</f>
        <v>1979.8</v>
      </c>
      <c r="M103" s="4">
        <f t="shared" si="103"/>
        <v>1.616666667</v>
      </c>
      <c r="N103" s="4">
        <f t="shared" si="103"/>
        <v>4.516666667</v>
      </c>
      <c r="O103" s="4">
        <f t="shared" si="103"/>
        <v>1.266666667</v>
      </c>
    </row>
    <row r="104">
      <c r="A104" s="6" t="s">
        <v>231</v>
      </c>
      <c r="B104" s="6" t="s">
        <v>231</v>
      </c>
      <c r="C104" s="1" t="s">
        <v>169</v>
      </c>
      <c r="D104" s="1" t="s">
        <v>232</v>
      </c>
      <c r="E104" s="1">
        <v>75.0</v>
      </c>
      <c r="F104" s="3">
        <f t="shared" si="2"/>
        <v>60</v>
      </c>
      <c r="H104" s="1">
        <v>115183.0</v>
      </c>
      <c r="I104" s="1">
        <v>76.0</v>
      </c>
      <c r="J104" s="1">
        <v>261.0</v>
      </c>
      <c r="K104" s="1">
        <v>80.0</v>
      </c>
      <c r="L104" s="4">
        <f t="shared" ref="L104:O104" si="104">if($G104=0,H104/$F104,H104/$F104/$G104)</f>
        <v>1919.716667</v>
      </c>
      <c r="M104" s="4">
        <f t="shared" si="104"/>
        <v>1.266666667</v>
      </c>
      <c r="N104" s="4">
        <f t="shared" si="104"/>
        <v>4.35</v>
      </c>
      <c r="O104" s="4">
        <f t="shared" si="104"/>
        <v>1.333333333</v>
      </c>
    </row>
    <row r="105">
      <c r="A105" s="7" t="s">
        <v>233</v>
      </c>
      <c r="B105" s="7" t="s">
        <v>233</v>
      </c>
      <c r="C105" s="1" t="s">
        <v>169</v>
      </c>
      <c r="D105" s="1" t="s">
        <v>234</v>
      </c>
      <c r="E105" s="1">
        <v>75.0</v>
      </c>
      <c r="F105" s="3">
        <f t="shared" si="2"/>
        <v>60</v>
      </c>
      <c r="H105" s="1">
        <v>118629.0</v>
      </c>
      <c r="I105" s="1">
        <v>73.0</v>
      </c>
      <c r="J105" s="1">
        <v>296.0</v>
      </c>
      <c r="K105" s="1">
        <v>71.0</v>
      </c>
      <c r="L105" s="4">
        <f t="shared" ref="L105:O105" si="105">if($G105=0,H105/$F105,H105/$F105/$G105)</f>
        <v>1977.15</v>
      </c>
      <c r="M105" s="4">
        <f t="shared" si="105"/>
        <v>1.216666667</v>
      </c>
      <c r="N105" s="4">
        <f t="shared" si="105"/>
        <v>4.933333333</v>
      </c>
      <c r="O105" s="4">
        <f t="shared" si="105"/>
        <v>1.183333333</v>
      </c>
    </row>
    <row r="106">
      <c r="A106" s="7" t="s">
        <v>235</v>
      </c>
      <c r="B106" s="7" t="s">
        <v>235</v>
      </c>
      <c r="C106" s="1" t="s">
        <v>169</v>
      </c>
      <c r="D106" s="1" t="s">
        <v>236</v>
      </c>
      <c r="E106" s="1">
        <v>75.0</v>
      </c>
      <c r="F106" s="3">
        <f t="shared" si="2"/>
        <v>60</v>
      </c>
      <c r="H106" s="1">
        <v>118041.0</v>
      </c>
      <c r="I106" s="1">
        <v>78.0</v>
      </c>
      <c r="J106" s="1">
        <v>312.0</v>
      </c>
      <c r="K106" s="1">
        <v>67.0</v>
      </c>
      <c r="L106" s="4">
        <f t="shared" ref="L106:O106" si="106">if($G106=0,H106/$F106,H106/$F106/$G106)</f>
        <v>1967.35</v>
      </c>
      <c r="M106" s="4">
        <f t="shared" si="106"/>
        <v>1.3</v>
      </c>
      <c r="N106" s="4">
        <f t="shared" si="106"/>
        <v>5.2</v>
      </c>
      <c r="O106" s="4">
        <f t="shared" si="106"/>
        <v>1.116666667</v>
      </c>
    </row>
    <row r="107">
      <c r="A107" s="5" t="s">
        <v>237</v>
      </c>
      <c r="B107" s="5" t="s">
        <v>237</v>
      </c>
      <c r="C107" s="1" t="s">
        <v>169</v>
      </c>
      <c r="D107" s="1" t="s">
        <v>238</v>
      </c>
      <c r="E107" s="1">
        <v>75.1</v>
      </c>
      <c r="F107" s="3">
        <f t="shared" si="2"/>
        <v>60.1</v>
      </c>
      <c r="H107" s="1">
        <v>119462.0</v>
      </c>
      <c r="I107" s="1">
        <v>83.0</v>
      </c>
      <c r="J107" s="1">
        <v>300.0</v>
      </c>
      <c r="K107" s="1">
        <v>75.0</v>
      </c>
      <c r="L107" s="4">
        <f t="shared" ref="L107:O107" si="107">if($G107=0,H107/$F107,H107/$F107/$G107)</f>
        <v>1987.720466</v>
      </c>
      <c r="M107" s="4">
        <f t="shared" si="107"/>
        <v>1.381031614</v>
      </c>
      <c r="N107" s="4">
        <f t="shared" si="107"/>
        <v>4.991680532</v>
      </c>
      <c r="O107" s="4">
        <f t="shared" si="107"/>
        <v>1.247920133</v>
      </c>
    </row>
    <row r="108">
      <c r="A108" s="7" t="s">
        <v>239</v>
      </c>
      <c r="B108" s="7" t="s">
        <v>239</v>
      </c>
      <c r="C108" s="1" t="s">
        <v>169</v>
      </c>
      <c r="D108" s="1" t="s">
        <v>240</v>
      </c>
      <c r="E108" s="1">
        <v>75.0</v>
      </c>
      <c r="F108" s="3">
        <f t="shared" si="2"/>
        <v>60</v>
      </c>
      <c r="H108" s="1">
        <v>116557.0</v>
      </c>
      <c r="I108" s="1">
        <v>105.0</v>
      </c>
      <c r="J108" s="1">
        <v>260.0</v>
      </c>
      <c r="K108" s="1">
        <v>61.0</v>
      </c>
      <c r="L108" s="4">
        <f t="shared" ref="L108:O108" si="108">if($G108=0,H108/$F108,H108/$F108/$G108)</f>
        <v>1942.616667</v>
      </c>
      <c r="M108" s="4">
        <f t="shared" si="108"/>
        <v>1.75</v>
      </c>
      <c r="N108" s="4">
        <f t="shared" si="108"/>
        <v>4.333333333</v>
      </c>
      <c r="O108" s="4">
        <f t="shared" si="108"/>
        <v>1.016666667</v>
      </c>
    </row>
    <row r="109">
      <c r="A109" s="5" t="s">
        <v>241</v>
      </c>
      <c r="B109" s="5" t="s">
        <v>241</v>
      </c>
      <c r="C109" s="1" t="s">
        <v>169</v>
      </c>
      <c r="D109" s="1" t="s">
        <v>242</v>
      </c>
      <c r="E109" s="1">
        <v>75.0</v>
      </c>
      <c r="F109" s="3">
        <f t="shared" si="2"/>
        <v>60</v>
      </c>
      <c r="H109" s="1">
        <v>112106.0</v>
      </c>
      <c r="I109" s="1">
        <v>84.0</v>
      </c>
      <c r="J109" s="1">
        <v>325.0</v>
      </c>
      <c r="K109" s="1">
        <v>77.0</v>
      </c>
      <c r="L109" s="4">
        <f t="shared" ref="L109:O109" si="109">if($G109=0,H109/$F109,H109/$F109/$G109)</f>
        <v>1868.433333</v>
      </c>
      <c r="M109" s="4">
        <f t="shared" si="109"/>
        <v>1.4</v>
      </c>
      <c r="N109" s="4">
        <f t="shared" si="109"/>
        <v>5.416666667</v>
      </c>
      <c r="O109" s="4">
        <f t="shared" si="109"/>
        <v>1.283333333</v>
      </c>
    </row>
    <row r="110">
      <c r="A110" s="6" t="s">
        <v>243</v>
      </c>
      <c r="B110" s="6" t="s">
        <v>243</v>
      </c>
      <c r="C110" s="1" t="s">
        <v>244</v>
      </c>
      <c r="D110" s="1" t="s">
        <v>245</v>
      </c>
      <c r="E110" s="1">
        <v>75.0</v>
      </c>
      <c r="F110" s="3">
        <f t="shared" si="2"/>
        <v>60</v>
      </c>
      <c r="H110" s="1">
        <v>86776.0</v>
      </c>
      <c r="I110" s="1">
        <v>57.0</v>
      </c>
      <c r="J110" s="1">
        <v>286.0</v>
      </c>
      <c r="K110" s="1">
        <v>71.0</v>
      </c>
      <c r="L110" s="4">
        <f t="shared" ref="L110:O110" si="110">if($G110=0,H110/$F110,H110/$F110/$G110)</f>
        <v>1446.266667</v>
      </c>
      <c r="M110" s="4">
        <f t="shared" si="110"/>
        <v>0.95</v>
      </c>
      <c r="N110" s="4">
        <f t="shared" si="110"/>
        <v>4.766666667</v>
      </c>
      <c r="O110" s="4">
        <f t="shared" si="110"/>
        <v>1.183333333</v>
      </c>
    </row>
    <row r="111">
      <c r="A111" s="6" t="s">
        <v>246</v>
      </c>
      <c r="B111" s="6" t="s">
        <v>246</v>
      </c>
      <c r="C111" s="1" t="s">
        <v>244</v>
      </c>
      <c r="D111" s="1" t="s">
        <v>247</v>
      </c>
      <c r="E111" s="1">
        <v>75.0</v>
      </c>
      <c r="F111" s="3">
        <f t="shared" si="2"/>
        <v>60</v>
      </c>
      <c r="H111" s="1">
        <v>88362.0</v>
      </c>
      <c r="I111" s="1">
        <v>60.0</v>
      </c>
      <c r="J111" s="1">
        <v>310.0</v>
      </c>
      <c r="K111" s="1">
        <v>72.0</v>
      </c>
      <c r="L111" s="4">
        <f t="shared" ref="L111:O111" si="111">if($G111=0,H111/$F111,H111/$F111/$G111)</f>
        <v>1472.7</v>
      </c>
      <c r="M111" s="4">
        <f t="shared" si="111"/>
        <v>1</v>
      </c>
      <c r="N111" s="4">
        <f t="shared" si="111"/>
        <v>5.166666667</v>
      </c>
      <c r="O111" s="4">
        <f t="shared" si="111"/>
        <v>1.2</v>
      </c>
    </row>
    <row r="112">
      <c r="A112" s="6" t="s">
        <v>248</v>
      </c>
      <c r="B112" s="6" t="s">
        <v>248</v>
      </c>
      <c r="C112" s="1" t="s">
        <v>244</v>
      </c>
      <c r="D112" s="1" t="s">
        <v>249</v>
      </c>
      <c r="E112" s="1">
        <v>75.0</v>
      </c>
      <c r="F112" s="3">
        <f t="shared" si="2"/>
        <v>60</v>
      </c>
      <c r="H112" s="1">
        <v>88933.0</v>
      </c>
      <c r="I112" s="1">
        <v>82.0</v>
      </c>
      <c r="J112" s="1">
        <v>294.0</v>
      </c>
      <c r="K112" s="1">
        <v>64.0</v>
      </c>
      <c r="L112" s="4">
        <f t="shared" ref="L112:O112" si="112">if($G112=0,H112/$F112,H112/$F112/$G112)</f>
        <v>1482.216667</v>
      </c>
      <c r="M112" s="4">
        <f t="shared" si="112"/>
        <v>1.366666667</v>
      </c>
      <c r="N112" s="4">
        <f t="shared" si="112"/>
        <v>4.9</v>
      </c>
      <c r="O112" s="4">
        <f t="shared" si="112"/>
        <v>1.066666667</v>
      </c>
    </row>
    <row r="113">
      <c r="A113" s="7" t="s">
        <v>250</v>
      </c>
      <c r="B113" s="7" t="s">
        <v>250</v>
      </c>
      <c r="C113" s="1" t="s">
        <v>244</v>
      </c>
      <c r="D113" s="1" t="s">
        <v>251</v>
      </c>
      <c r="E113" s="1">
        <v>75.0</v>
      </c>
      <c r="F113" s="3">
        <f t="shared" si="2"/>
        <v>60</v>
      </c>
      <c r="H113" s="1">
        <v>226900.0</v>
      </c>
      <c r="I113" s="1">
        <v>65.0</v>
      </c>
      <c r="J113" s="1">
        <v>291.0</v>
      </c>
      <c r="K113" s="1">
        <v>83.0</v>
      </c>
      <c r="L113" s="4">
        <f t="shared" ref="L113:O113" si="113">if($G113=0,H113/$F113,H113/$F113/$G113)</f>
        <v>3781.666667</v>
      </c>
      <c r="M113" s="4">
        <f t="shared" si="113"/>
        <v>1.083333333</v>
      </c>
      <c r="N113" s="4">
        <f t="shared" si="113"/>
        <v>4.85</v>
      </c>
      <c r="O113" s="4">
        <f t="shared" si="113"/>
        <v>1.383333333</v>
      </c>
    </row>
    <row r="114">
      <c r="A114" s="7" t="s">
        <v>252</v>
      </c>
      <c r="B114" s="7" t="s">
        <v>252</v>
      </c>
      <c r="C114" s="1" t="s">
        <v>244</v>
      </c>
      <c r="D114" s="1" t="s">
        <v>17</v>
      </c>
      <c r="E114" s="1">
        <v>75.0</v>
      </c>
      <c r="F114" s="3">
        <f t="shared" si="2"/>
        <v>60</v>
      </c>
      <c r="H114" s="1">
        <v>107251.0</v>
      </c>
      <c r="I114" s="1">
        <v>170.0</v>
      </c>
      <c r="J114" s="1">
        <v>277.0</v>
      </c>
      <c r="K114" s="1">
        <v>77.0</v>
      </c>
      <c r="L114" s="4">
        <f t="shared" ref="L114:O114" si="114">if($G114=0,H114/$F114,H114/$F114/$G114)</f>
        <v>1787.516667</v>
      </c>
      <c r="M114" s="4">
        <f t="shared" si="114"/>
        <v>2.833333333</v>
      </c>
      <c r="N114" s="4">
        <f t="shared" si="114"/>
        <v>4.616666667</v>
      </c>
      <c r="O114" s="4">
        <f t="shared" si="114"/>
        <v>1.283333333</v>
      </c>
    </row>
    <row r="115">
      <c r="A115" s="7" t="s">
        <v>253</v>
      </c>
      <c r="B115" s="7" t="s">
        <v>253</v>
      </c>
      <c r="C115" s="1" t="s">
        <v>244</v>
      </c>
      <c r="D115" s="1" t="s">
        <v>39</v>
      </c>
      <c r="E115" s="1">
        <v>75.0</v>
      </c>
      <c r="F115" s="3">
        <f t="shared" si="2"/>
        <v>60</v>
      </c>
      <c r="H115" s="1">
        <v>103645.0</v>
      </c>
      <c r="I115" s="1">
        <v>105.0</v>
      </c>
      <c r="J115" s="1">
        <v>283.0</v>
      </c>
      <c r="K115" s="1">
        <v>68.0</v>
      </c>
      <c r="L115" s="4">
        <f t="shared" ref="L115:O115" si="115">if($G115=0,H115/$F115,H115/$F115/$G115)</f>
        <v>1727.416667</v>
      </c>
      <c r="M115" s="4">
        <f t="shared" si="115"/>
        <v>1.75</v>
      </c>
      <c r="N115" s="4">
        <f t="shared" si="115"/>
        <v>4.716666667</v>
      </c>
      <c r="O115" s="4">
        <f t="shared" si="115"/>
        <v>1.133333333</v>
      </c>
    </row>
    <row r="116">
      <c r="A116" s="7" t="s">
        <v>254</v>
      </c>
      <c r="B116" s="7" t="s">
        <v>254</v>
      </c>
      <c r="C116" s="1" t="s">
        <v>244</v>
      </c>
      <c r="D116" s="1" t="s">
        <v>61</v>
      </c>
      <c r="E116" s="1">
        <v>75.0</v>
      </c>
      <c r="F116" s="3">
        <f t="shared" si="2"/>
        <v>60</v>
      </c>
      <c r="H116" s="1">
        <v>282244.0</v>
      </c>
      <c r="I116" s="1">
        <v>52.0</v>
      </c>
      <c r="J116" s="1">
        <v>284.0</v>
      </c>
      <c r="K116" s="1">
        <v>70.0</v>
      </c>
      <c r="L116" s="4">
        <f t="shared" ref="L116:O116" si="116">if($G116=0,H116/$F116,H116/$F116/$G116)</f>
        <v>4704.066667</v>
      </c>
      <c r="M116" s="4">
        <f t="shared" si="116"/>
        <v>0.8666666667</v>
      </c>
      <c r="N116" s="4">
        <f t="shared" si="116"/>
        <v>4.733333333</v>
      </c>
      <c r="O116" s="4">
        <f t="shared" si="116"/>
        <v>1.166666667</v>
      </c>
    </row>
    <row r="117">
      <c r="A117" s="7" t="s">
        <v>255</v>
      </c>
      <c r="B117" s="7" t="s">
        <v>255</v>
      </c>
      <c r="C117" s="1" t="s">
        <v>244</v>
      </c>
      <c r="D117" s="1" t="s">
        <v>77</v>
      </c>
      <c r="E117" s="1">
        <v>75.0</v>
      </c>
      <c r="F117" s="3">
        <f t="shared" si="2"/>
        <v>60</v>
      </c>
      <c r="H117" s="1">
        <v>328696.0</v>
      </c>
      <c r="I117" s="1">
        <v>64.0</v>
      </c>
      <c r="J117" s="1">
        <v>262.0</v>
      </c>
      <c r="K117" s="1">
        <v>64.0</v>
      </c>
      <c r="L117" s="4">
        <f t="shared" ref="L117:O117" si="117">if($G117=0,H117/$F117,H117/$F117/$G117)</f>
        <v>5478.266667</v>
      </c>
      <c r="M117" s="4">
        <f t="shared" si="117"/>
        <v>1.066666667</v>
      </c>
      <c r="N117" s="4">
        <f t="shared" si="117"/>
        <v>4.366666667</v>
      </c>
      <c r="O117" s="4">
        <f t="shared" si="117"/>
        <v>1.066666667</v>
      </c>
    </row>
    <row r="118">
      <c r="A118" s="7" t="s">
        <v>256</v>
      </c>
      <c r="B118" s="7" t="s">
        <v>256</v>
      </c>
      <c r="C118" s="1" t="s">
        <v>244</v>
      </c>
      <c r="D118" s="1" t="s">
        <v>79</v>
      </c>
      <c r="E118" s="1">
        <v>75.0</v>
      </c>
      <c r="F118" s="3">
        <f t="shared" si="2"/>
        <v>60</v>
      </c>
      <c r="H118" s="1">
        <v>494831.0</v>
      </c>
      <c r="I118" s="1">
        <v>47.0</v>
      </c>
      <c r="J118" s="1">
        <v>247.0</v>
      </c>
      <c r="K118" s="1">
        <v>66.0</v>
      </c>
      <c r="L118" s="4">
        <f t="shared" ref="L118:O118" si="118">if($G118=0,H118/$F118,H118/$F118/$G118)</f>
        <v>8247.183333</v>
      </c>
      <c r="M118" s="4">
        <f t="shared" si="118"/>
        <v>0.7833333333</v>
      </c>
      <c r="N118" s="4">
        <f t="shared" si="118"/>
        <v>4.116666667</v>
      </c>
      <c r="O118" s="4">
        <f t="shared" si="118"/>
        <v>1.1</v>
      </c>
    </row>
    <row r="119">
      <c r="A119" s="7" t="s">
        <v>257</v>
      </c>
      <c r="B119" s="7" t="s">
        <v>257</v>
      </c>
      <c r="C119" s="1" t="s">
        <v>244</v>
      </c>
      <c r="D119" s="1" t="s">
        <v>81</v>
      </c>
      <c r="E119" s="1">
        <v>75.0</v>
      </c>
      <c r="F119" s="3">
        <f t="shared" si="2"/>
        <v>60</v>
      </c>
      <c r="H119" s="1">
        <v>328629.0</v>
      </c>
      <c r="I119" s="1">
        <v>49.0</v>
      </c>
      <c r="J119" s="1">
        <v>281.0</v>
      </c>
      <c r="K119" s="1">
        <v>81.0</v>
      </c>
      <c r="L119" s="4">
        <f t="shared" ref="L119:O119" si="119">if($G119=0,H119/$F119,H119/$F119/$G119)</f>
        <v>5477.15</v>
      </c>
      <c r="M119" s="4">
        <f t="shared" si="119"/>
        <v>0.8166666667</v>
      </c>
      <c r="N119" s="4">
        <f t="shared" si="119"/>
        <v>4.683333333</v>
      </c>
      <c r="O119" s="4">
        <f t="shared" si="119"/>
        <v>1.35</v>
      </c>
    </row>
    <row r="120">
      <c r="A120" s="7" t="s">
        <v>258</v>
      </c>
      <c r="B120" s="7" t="s">
        <v>258</v>
      </c>
      <c r="C120" s="1" t="s">
        <v>244</v>
      </c>
      <c r="D120" s="1" t="s">
        <v>83</v>
      </c>
      <c r="E120" s="1">
        <v>75.0</v>
      </c>
      <c r="F120" s="3">
        <f t="shared" si="2"/>
        <v>60</v>
      </c>
      <c r="H120" s="1">
        <v>321348.0</v>
      </c>
      <c r="I120" s="1">
        <v>46.0</v>
      </c>
      <c r="J120" s="1">
        <v>262.0</v>
      </c>
      <c r="K120" s="1">
        <v>68.0</v>
      </c>
      <c r="L120" s="4">
        <f t="shared" ref="L120:O120" si="120">if($G120=0,H120/$F120,H120/$F120/$G120)</f>
        <v>5355.8</v>
      </c>
      <c r="M120" s="4">
        <f t="shared" si="120"/>
        <v>0.7666666667</v>
      </c>
      <c r="N120" s="4">
        <f t="shared" si="120"/>
        <v>4.366666667</v>
      </c>
      <c r="O120" s="4">
        <f t="shared" si="120"/>
        <v>1.133333333</v>
      </c>
    </row>
    <row r="121">
      <c r="A121" s="7" t="s">
        <v>259</v>
      </c>
      <c r="B121" s="7" t="s">
        <v>259</v>
      </c>
      <c r="C121" s="1" t="s">
        <v>244</v>
      </c>
      <c r="D121" s="1" t="s">
        <v>85</v>
      </c>
      <c r="E121" s="1">
        <v>75.0</v>
      </c>
      <c r="F121" s="3">
        <f t="shared" si="2"/>
        <v>60</v>
      </c>
      <c r="G121" s="1">
        <v>0.2</v>
      </c>
      <c r="H121" s="1">
        <v>155781.0</v>
      </c>
      <c r="I121" s="1">
        <v>18.0</v>
      </c>
      <c r="J121" s="1">
        <v>64.0</v>
      </c>
      <c r="K121" s="1">
        <v>13.0</v>
      </c>
      <c r="L121" s="4">
        <f t="shared" ref="L121:O121" si="121">if($G121=0,H121/$F121,H121/$F121/$G121)</f>
        <v>12981.75</v>
      </c>
      <c r="M121" s="4">
        <f t="shared" si="121"/>
        <v>1.5</v>
      </c>
      <c r="N121" s="4">
        <f t="shared" si="121"/>
        <v>5.333333333</v>
      </c>
      <c r="O121" s="4">
        <f t="shared" si="121"/>
        <v>1.083333333</v>
      </c>
    </row>
    <row r="122">
      <c r="A122" s="7" t="s">
        <v>260</v>
      </c>
      <c r="B122" s="7" t="s">
        <v>260</v>
      </c>
      <c r="C122" s="1" t="s">
        <v>244</v>
      </c>
      <c r="D122" s="1" t="s">
        <v>87</v>
      </c>
      <c r="E122" s="1">
        <v>75.0</v>
      </c>
      <c r="F122" s="3">
        <f t="shared" si="2"/>
        <v>60</v>
      </c>
      <c r="G122" s="1">
        <v>0.2</v>
      </c>
      <c r="H122" s="1">
        <v>21181.0</v>
      </c>
      <c r="I122" s="1">
        <v>25.0</v>
      </c>
      <c r="J122" s="1">
        <v>52.0</v>
      </c>
      <c r="K122" s="1">
        <v>15.0</v>
      </c>
      <c r="L122" s="4">
        <f t="shared" ref="L122:O122" si="122">if($G122=0,H122/$F122,H122/$F122/$G122)</f>
        <v>1765.083333</v>
      </c>
      <c r="M122" s="4">
        <f t="shared" si="122"/>
        <v>2.083333333</v>
      </c>
      <c r="N122" s="4">
        <f t="shared" si="122"/>
        <v>4.333333333</v>
      </c>
      <c r="O122" s="4">
        <f t="shared" si="122"/>
        <v>1.25</v>
      </c>
    </row>
    <row r="123">
      <c r="A123" s="7" t="s">
        <v>261</v>
      </c>
      <c r="B123" s="7" t="s">
        <v>261</v>
      </c>
      <c r="C123" s="1" t="s">
        <v>244</v>
      </c>
      <c r="D123" s="1" t="s">
        <v>19</v>
      </c>
      <c r="E123" s="1">
        <v>75.0</v>
      </c>
      <c r="F123" s="3">
        <f t="shared" si="2"/>
        <v>60</v>
      </c>
      <c r="G123" s="1">
        <v>0.2</v>
      </c>
      <c r="H123" s="1">
        <v>183916.0</v>
      </c>
      <c r="I123" s="1">
        <v>28.0</v>
      </c>
      <c r="J123" s="1">
        <v>56.0</v>
      </c>
      <c r="K123" s="1">
        <v>8.0</v>
      </c>
      <c r="L123" s="4">
        <f t="shared" ref="L123:O123" si="123">if($G123=0,H123/$F123,H123/$F123/$G123)</f>
        <v>15326.33333</v>
      </c>
      <c r="M123" s="4">
        <f t="shared" si="123"/>
        <v>2.333333333</v>
      </c>
      <c r="N123" s="4">
        <f t="shared" si="123"/>
        <v>4.666666667</v>
      </c>
      <c r="O123" s="4">
        <f t="shared" si="123"/>
        <v>0.6666666667</v>
      </c>
    </row>
    <row r="124">
      <c r="A124" s="7" t="s">
        <v>262</v>
      </c>
      <c r="B124" s="7" t="s">
        <v>262</v>
      </c>
      <c r="C124" s="1" t="s">
        <v>244</v>
      </c>
      <c r="D124" s="1" t="s">
        <v>21</v>
      </c>
      <c r="E124" s="1">
        <v>75.0</v>
      </c>
      <c r="F124" s="3">
        <f t="shared" si="2"/>
        <v>60</v>
      </c>
      <c r="H124" s="1">
        <v>130777.0</v>
      </c>
      <c r="I124" s="1">
        <v>73.0</v>
      </c>
      <c r="J124" s="1">
        <v>312.0</v>
      </c>
      <c r="K124" s="1">
        <v>65.0</v>
      </c>
      <c r="L124" s="4">
        <f t="shared" ref="L124:O124" si="124">if($G124=0,H124/$F124,H124/$F124/$G124)</f>
        <v>2179.616667</v>
      </c>
      <c r="M124" s="4">
        <f t="shared" si="124"/>
        <v>1.216666667</v>
      </c>
      <c r="N124" s="4">
        <f t="shared" si="124"/>
        <v>5.2</v>
      </c>
      <c r="O124" s="4">
        <f t="shared" si="124"/>
        <v>1.083333333</v>
      </c>
    </row>
    <row r="125">
      <c r="A125" s="7" t="s">
        <v>263</v>
      </c>
      <c r="B125" s="7" t="s">
        <v>263</v>
      </c>
      <c r="C125" s="1" t="s">
        <v>244</v>
      </c>
      <c r="D125" s="1" t="s">
        <v>23</v>
      </c>
      <c r="E125" s="1">
        <v>75.0</v>
      </c>
      <c r="F125" s="3">
        <f t="shared" si="2"/>
        <v>60</v>
      </c>
      <c r="H125" s="1">
        <v>128034.0</v>
      </c>
      <c r="I125" s="1">
        <v>51.0</v>
      </c>
      <c r="J125" s="1">
        <v>275.0</v>
      </c>
      <c r="K125" s="1">
        <v>91.0</v>
      </c>
      <c r="L125" s="4">
        <f t="shared" ref="L125:O125" si="125">if($G125=0,H125/$F125,H125/$F125/$G125)</f>
        <v>2133.9</v>
      </c>
      <c r="M125" s="4">
        <f t="shared" si="125"/>
        <v>0.85</v>
      </c>
      <c r="N125" s="4">
        <f t="shared" si="125"/>
        <v>4.583333333</v>
      </c>
      <c r="O125" s="4">
        <f t="shared" si="125"/>
        <v>1.516666667</v>
      </c>
    </row>
    <row r="126">
      <c r="A126" s="7" t="s">
        <v>264</v>
      </c>
      <c r="B126" s="7" t="s">
        <v>264</v>
      </c>
      <c r="C126" s="1" t="s">
        <v>244</v>
      </c>
      <c r="D126" s="1" t="s">
        <v>25</v>
      </c>
      <c r="E126" s="1">
        <v>75.0</v>
      </c>
      <c r="F126" s="3">
        <f t="shared" si="2"/>
        <v>60</v>
      </c>
      <c r="H126" s="1">
        <v>128673.0</v>
      </c>
      <c r="I126" s="1">
        <v>46.0</v>
      </c>
      <c r="J126" s="1">
        <v>309.0</v>
      </c>
      <c r="K126" s="1">
        <v>70.0</v>
      </c>
      <c r="L126" s="4">
        <f t="shared" ref="L126:O126" si="126">if($G126=0,H126/$F126,H126/$F126/$G126)</f>
        <v>2144.55</v>
      </c>
      <c r="M126" s="4">
        <f t="shared" si="126"/>
        <v>0.7666666667</v>
      </c>
      <c r="N126" s="4">
        <f t="shared" si="126"/>
        <v>5.15</v>
      </c>
      <c r="O126" s="4">
        <f t="shared" si="126"/>
        <v>1.166666667</v>
      </c>
    </row>
    <row r="127">
      <c r="A127" s="7" t="s">
        <v>265</v>
      </c>
      <c r="B127" s="7" t="s">
        <v>265</v>
      </c>
      <c r="C127" s="1" t="s">
        <v>244</v>
      </c>
      <c r="D127" s="1" t="s">
        <v>27</v>
      </c>
      <c r="E127" s="1">
        <v>75.0</v>
      </c>
      <c r="F127" s="3">
        <f t="shared" si="2"/>
        <v>60</v>
      </c>
      <c r="H127" s="1">
        <v>271116.0</v>
      </c>
      <c r="I127" s="1">
        <v>61.0</v>
      </c>
      <c r="J127" s="1">
        <v>262.0</v>
      </c>
      <c r="K127" s="1">
        <v>48.0</v>
      </c>
      <c r="L127" s="4">
        <f t="shared" ref="L127:O127" si="127">if($G127=0,H127/$F127,H127/$F127/$G127)</f>
        <v>4518.6</v>
      </c>
      <c r="M127" s="4">
        <f t="shared" si="127"/>
        <v>1.016666667</v>
      </c>
      <c r="N127" s="4">
        <f t="shared" si="127"/>
        <v>4.366666667</v>
      </c>
      <c r="O127" s="4">
        <f t="shared" si="127"/>
        <v>0.8</v>
      </c>
    </row>
    <row r="128">
      <c r="A128" s="7" t="s">
        <v>266</v>
      </c>
      <c r="B128" s="7" t="s">
        <v>266</v>
      </c>
      <c r="C128" s="1" t="s">
        <v>244</v>
      </c>
      <c r="D128" s="1" t="s">
        <v>29</v>
      </c>
      <c r="E128" s="1">
        <v>75.0</v>
      </c>
      <c r="F128" s="3">
        <f t="shared" si="2"/>
        <v>60</v>
      </c>
      <c r="H128" s="1">
        <v>337167.0</v>
      </c>
      <c r="I128" s="1">
        <v>52.0</v>
      </c>
      <c r="J128" s="1">
        <v>266.0</v>
      </c>
      <c r="K128" s="1">
        <v>64.0</v>
      </c>
      <c r="L128" s="4">
        <f t="shared" ref="L128:O128" si="128">if($G128=0,H128/$F128,H128/$F128/$G128)</f>
        <v>5619.45</v>
      </c>
      <c r="M128" s="4">
        <f t="shared" si="128"/>
        <v>0.8666666667</v>
      </c>
      <c r="N128" s="4">
        <f t="shared" si="128"/>
        <v>4.433333333</v>
      </c>
      <c r="O128" s="4">
        <f t="shared" si="128"/>
        <v>1.066666667</v>
      </c>
    </row>
    <row r="129">
      <c r="A129" s="7" t="s">
        <v>267</v>
      </c>
      <c r="B129" s="7" t="s">
        <v>267</v>
      </c>
      <c r="C129" s="1" t="s">
        <v>244</v>
      </c>
      <c r="D129" s="1" t="s">
        <v>31</v>
      </c>
      <c r="E129" s="1">
        <v>75.0</v>
      </c>
      <c r="F129" s="3">
        <f t="shared" si="2"/>
        <v>60</v>
      </c>
      <c r="H129" s="1">
        <v>403540.0</v>
      </c>
      <c r="I129" s="1">
        <v>58.0</v>
      </c>
      <c r="J129" s="1">
        <v>305.0</v>
      </c>
      <c r="K129" s="1">
        <v>70.0</v>
      </c>
      <c r="L129" s="4">
        <f t="shared" ref="L129:O129" si="129">if($G129=0,H129/$F129,H129/$F129/$G129)</f>
        <v>6725.666667</v>
      </c>
      <c r="M129" s="4">
        <f t="shared" si="129"/>
        <v>0.9666666667</v>
      </c>
      <c r="N129" s="4">
        <f t="shared" si="129"/>
        <v>5.083333333</v>
      </c>
      <c r="O129" s="4">
        <f t="shared" si="129"/>
        <v>1.166666667</v>
      </c>
    </row>
    <row r="130">
      <c r="A130" s="7" t="s">
        <v>268</v>
      </c>
      <c r="B130" s="7" t="s">
        <v>268</v>
      </c>
      <c r="C130" s="1" t="s">
        <v>244</v>
      </c>
      <c r="D130" s="1" t="s">
        <v>33</v>
      </c>
      <c r="E130" s="1">
        <v>75.0</v>
      </c>
      <c r="F130" s="3">
        <f t="shared" si="2"/>
        <v>60</v>
      </c>
      <c r="H130" s="1">
        <v>420581.0</v>
      </c>
      <c r="I130" s="1">
        <v>60.0</v>
      </c>
      <c r="J130" s="1">
        <v>284.0</v>
      </c>
      <c r="K130" s="1">
        <v>63.0</v>
      </c>
      <c r="L130" s="4">
        <f t="shared" ref="L130:O130" si="130">if($G130=0,H130/$F130,H130/$F130/$G130)</f>
        <v>7009.683333</v>
      </c>
      <c r="M130" s="4">
        <f t="shared" si="130"/>
        <v>1</v>
      </c>
      <c r="N130" s="4">
        <f t="shared" si="130"/>
        <v>4.733333333</v>
      </c>
      <c r="O130" s="4">
        <f t="shared" si="130"/>
        <v>1.05</v>
      </c>
    </row>
    <row r="131">
      <c r="A131" s="7" t="s">
        <v>269</v>
      </c>
      <c r="B131" s="7" t="s">
        <v>269</v>
      </c>
      <c r="C131" s="1" t="s">
        <v>244</v>
      </c>
      <c r="D131" s="1" t="s">
        <v>35</v>
      </c>
      <c r="E131" s="1">
        <v>75.0</v>
      </c>
      <c r="F131" s="3">
        <f t="shared" si="2"/>
        <v>60</v>
      </c>
      <c r="H131" s="1">
        <v>395114.0</v>
      </c>
      <c r="I131" s="1">
        <v>45.0</v>
      </c>
      <c r="J131" s="1">
        <v>292.0</v>
      </c>
      <c r="K131" s="1">
        <v>63.0</v>
      </c>
      <c r="L131" s="4">
        <f t="shared" ref="L131:O131" si="131">if($G131=0,H131/$F131,H131/$F131/$G131)</f>
        <v>6585.233333</v>
      </c>
      <c r="M131" s="4">
        <f t="shared" si="131"/>
        <v>0.75</v>
      </c>
      <c r="N131" s="4">
        <f t="shared" si="131"/>
        <v>4.866666667</v>
      </c>
      <c r="O131" s="4">
        <f t="shared" si="131"/>
        <v>1.05</v>
      </c>
    </row>
    <row r="132">
      <c r="A132" s="7" t="s">
        <v>270</v>
      </c>
      <c r="B132" s="7" t="s">
        <v>270</v>
      </c>
      <c r="C132" s="1" t="s">
        <v>244</v>
      </c>
      <c r="D132" s="1" t="s">
        <v>271</v>
      </c>
      <c r="E132" s="1">
        <v>75.0</v>
      </c>
      <c r="F132" s="3">
        <f t="shared" si="2"/>
        <v>60</v>
      </c>
      <c r="G132" s="1">
        <v>0.2</v>
      </c>
      <c r="H132" s="1">
        <v>151491.0</v>
      </c>
      <c r="I132" s="1">
        <v>25.0</v>
      </c>
      <c r="J132" s="1">
        <v>49.0</v>
      </c>
      <c r="K132" s="1">
        <v>19.0</v>
      </c>
      <c r="L132" s="4">
        <f t="shared" ref="L132:O132" si="132">if($G132=0,H132/$F132,H132/$F132/$G132)</f>
        <v>12624.25</v>
      </c>
      <c r="M132" s="4">
        <f t="shared" si="132"/>
        <v>2.083333333</v>
      </c>
      <c r="N132" s="4">
        <f t="shared" si="132"/>
        <v>4.083333333</v>
      </c>
      <c r="O132" s="4">
        <f t="shared" si="132"/>
        <v>1.583333333</v>
      </c>
    </row>
    <row r="133">
      <c r="A133" s="7" t="s">
        <v>272</v>
      </c>
      <c r="B133" s="7" t="s">
        <v>272</v>
      </c>
      <c r="C133" s="1" t="s">
        <v>244</v>
      </c>
      <c r="D133" s="1" t="s">
        <v>41</v>
      </c>
      <c r="E133" s="1">
        <v>75.0</v>
      </c>
      <c r="F133" s="3">
        <f t="shared" si="2"/>
        <v>60</v>
      </c>
      <c r="G133" s="1">
        <v>0.2</v>
      </c>
      <c r="H133" s="1">
        <v>259600.0</v>
      </c>
      <c r="I133" s="1">
        <v>23.0</v>
      </c>
      <c r="J133" s="1">
        <v>66.0</v>
      </c>
      <c r="K133" s="1">
        <v>14.0</v>
      </c>
      <c r="L133" s="4">
        <f t="shared" ref="L133:O133" si="133">if($G133=0,H133/$F133,H133/$F133/$G133)</f>
        <v>21633.33333</v>
      </c>
      <c r="M133" s="4">
        <f t="shared" si="133"/>
        <v>1.916666667</v>
      </c>
      <c r="N133" s="4">
        <f t="shared" si="133"/>
        <v>5.5</v>
      </c>
      <c r="O133" s="4">
        <f t="shared" si="133"/>
        <v>1.166666667</v>
      </c>
    </row>
    <row r="134">
      <c r="A134" s="7" t="s">
        <v>273</v>
      </c>
      <c r="B134" s="7" t="s">
        <v>273</v>
      </c>
      <c r="C134" s="1" t="s">
        <v>244</v>
      </c>
      <c r="D134" s="1" t="s">
        <v>43</v>
      </c>
      <c r="E134" s="1">
        <v>75.0</v>
      </c>
      <c r="F134" s="3">
        <f t="shared" si="2"/>
        <v>60</v>
      </c>
      <c r="G134" s="1">
        <v>0.2</v>
      </c>
      <c r="H134" s="1">
        <v>308522.0</v>
      </c>
      <c r="I134" s="1">
        <v>16.0</v>
      </c>
      <c r="J134" s="1">
        <v>54.0</v>
      </c>
      <c r="K134" s="1">
        <v>10.0</v>
      </c>
      <c r="L134" s="4">
        <f t="shared" ref="L134:O134" si="134">if($G134=0,H134/$F134,H134/$F134/$G134)</f>
        <v>25710.16667</v>
      </c>
      <c r="M134" s="4">
        <f t="shared" si="134"/>
        <v>1.333333333</v>
      </c>
      <c r="N134" s="4">
        <f t="shared" si="134"/>
        <v>4.5</v>
      </c>
      <c r="O134" s="4">
        <f t="shared" si="134"/>
        <v>0.8333333333</v>
      </c>
    </row>
    <row r="135">
      <c r="A135" s="7" t="s">
        <v>274</v>
      </c>
      <c r="B135" s="7" t="s">
        <v>274</v>
      </c>
      <c r="C135" s="1" t="s">
        <v>244</v>
      </c>
      <c r="D135" s="1" t="s">
        <v>45</v>
      </c>
      <c r="E135" s="1">
        <v>75.1</v>
      </c>
      <c r="F135" s="3">
        <f t="shared" si="2"/>
        <v>60.1</v>
      </c>
      <c r="H135" s="1">
        <v>129653.0</v>
      </c>
      <c r="I135" s="1">
        <v>71.0</v>
      </c>
      <c r="J135" s="1">
        <v>266.0</v>
      </c>
      <c r="K135" s="1">
        <v>63.0</v>
      </c>
      <c r="L135" s="4">
        <f t="shared" ref="L135:O135" si="135">if($G135=0,H135/$F135,H135/$F135/$G135)</f>
        <v>2157.287854</v>
      </c>
      <c r="M135" s="4">
        <f t="shared" si="135"/>
        <v>1.181364393</v>
      </c>
      <c r="N135" s="4">
        <f t="shared" si="135"/>
        <v>4.425956739</v>
      </c>
      <c r="O135" s="4">
        <f t="shared" si="135"/>
        <v>1.048252912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 t="s">
        <v>275</v>
      </c>
      <c r="B136" s="7" t="s">
        <v>275</v>
      </c>
      <c r="C136" s="1" t="s">
        <v>244</v>
      </c>
      <c r="D136" s="1" t="s">
        <v>276</v>
      </c>
      <c r="E136" s="1">
        <v>75.0</v>
      </c>
      <c r="F136" s="3">
        <f t="shared" si="2"/>
        <v>60</v>
      </c>
      <c r="H136" s="1">
        <v>117629.0</v>
      </c>
      <c r="I136" s="1">
        <v>91.0</v>
      </c>
      <c r="J136" s="1">
        <v>246.0</v>
      </c>
      <c r="K136" s="1">
        <v>43.0</v>
      </c>
      <c r="L136" s="4">
        <f t="shared" ref="L136:O136" si="136">if($G136=0,H136/$F136,H136/$F136/$G136)</f>
        <v>1960.483333</v>
      </c>
      <c r="M136" s="4">
        <f t="shared" si="136"/>
        <v>1.516666667</v>
      </c>
      <c r="N136" s="4">
        <f t="shared" si="136"/>
        <v>4.1</v>
      </c>
      <c r="O136" s="4">
        <f t="shared" si="136"/>
        <v>0.7166666667</v>
      </c>
    </row>
    <row r="137">
      <c r="A137" s="7" t="s">
        <v>277</v>
      </c>
      <c r="B137" s="7" t="s">
        <v>277</v>
      </c>
      <c r="C137" s="1" t="s">
        <v>244</v>
      </c>
      <c r="D137" s="1" t="s">
        <v>47</v>
      </c>
      <c r="E137" s="1">
        <v>75.0</v>
      </c>
      <c r="F137" s="3">
        <f t="shared" si="2"/>
        <v>60</v>
      </c>
      <c r="H137" s="1">
        <v>125884.0</v>
      </c>
      <c r="I137" s="1">
        <v>70.0</v>
      </c>
      <c r="J137" s="1">
        <v>298.0</v>
      </c>
      <c r="K137" s="1">
        <v>71.0</v>
      </c>
      <c r="L137" s="4">
        <f t="shared" ref="L137:O137" si="137">if($G137=0,H137/$F137,H137/$F137/$G137)</f>
        <v>2098.066667</v>
      </c>
      <c r="M137" s="4">
        <f t="shared" si="137"/>
        <v>1.166666667</v>
      </c>
      <c r="N137" s="4">
        <f t="shared" si="137"/>
        <v>4.966666667</v>
      </c>
      <c r="O137" s="4">
        <f t="shared" si="137"/>
        <v>1.183333333</v>
      </c>
    </row>
    <row r="138">
      <c r="A138" s="7" t="s">
        <v>278</v>
      </c>
      <c r="B138" s="7" t="s">
        <v>278</v>
      </c>
      <c r="C138" s="1" t="s">
        <v>244</v>
      </c>
      <c r="D138" s="1" t="s">
        <v>49</v>
      </c>
      <c r="E138" s="1">
        <v>75.0</v>
      </c>
      <c r="F138" s="3">
        <f t="shared" si="2"/>
        <v>60</v>
      </c>
      <c r="H138" s="1">
        <v>127087.0</v>
      </c>
      <c r="I138" s="1">
        <v>76.0</v>
      </c>
      <c r="J138" s="1">
        <v>248.0</v>
      </c>
      <c r="K138" s="1">
        <v>72.0</v>
      </c>
      <c r="L138" s="4">
        <f t="shared" ref="L138:O138" si="138">if($G138=0,H138/$F138,H138/$F138/$G138)</f>
        <v>2118.116667</v>
      </c>
      <c r="M138" s="4">
        <f t="shared" si="138"/>
        <v>1.266666667</v>
      </c>
      <c r="N138" s="4">
        <f t="shared" si="138"/>
        <v>4.133333333</v>
      </c>
      <c r="O138" s="4">
        <f t="shared" si="138"/>
        <v>1.2</v>
      </c>
    </row>
    <row r="139">
      <c r="A139" s="7" t="s">
        <v>279</v>
      </c>
      <c r="B139" s="7" t="s">
        <v>279</v>
      </c>
      <c r="C139" s="1" t="s">
        <v>244</v>
      </c>
      <c r="D139" s="1" t="s">
        <v>51</v>
      </c>
      <c r="E139" s="1">
        <v>75.0</v>
      </c>
      <c r="F139" s="3">
        <f t="shared" si="2"/>
        <v>60</v>
      </c>
      <c r="H139" s="1">
        <v>123442.0</v>
      </c>
      <c r="I139" s="1">
        <v>47.0</v>
      </c>
      <c r="J139" s="1">
        <v>249.0</v>
      </c>
      <c r="K139" s="1">
        <v>72.0</v>
      </c>
      <c r="L139" s="4">
        <f t="shared" ref="L139:O139" si="139">if($G139=0,H139/$F139,H139/$F139/$G139)</f>
        <v>2057.366667</v>
      </c>
      <c r="M139" s="4">
        <f t="shared" si="139"/>
        <v>0.7833333333</v>
      </c>
      <c r="N139" s="4">
        <f t="shared" si="139"/>
        <v>4.15</v>
      </c>
      <c r="O139" s="4">
        <f t="shared" si="139"/>
        <v>1.2</v>
      </c>
    </row>
    <row r="140">
      <c r="A140" s="7" t="s">
        <v>280</v>
      </c>
      <c r="B140" s="7" t="s">
        <v>280</v>
      </c>
      <c r="C140" s="1" t="s">
        <v>244</v>
      </c>
      <c r="D140" s="1" t="s">
        <v>53</v>
      </c>
      <c r="E140" s="1">
        <v>75.0</v>
      </c>
      <c r="F140" s="3">
        <f t="shared" si="2"/>
        <v>60</v>
      </c>
      <c r="H140" s="1">
        <v>121690.0</v>
      </c>
      <c r="I140" s="1">
        <v>52.0</v>
      </c>
      <c r="J140" s="1">
        <v>273.0</v>
      </c>
      <c r="K140" s="1">
        <v>74.0</v>
      </c>
      <c r="L140" s="4">
        <f t="shared" ref="L140:O140" si="140">if($G140=0,H140/$F140,H140/$F140/$G140)</f>
        <v>2028.166667</v>
      </c>
      <c r="M140" s="4">
        <f t="shared" si="140"/>
        <v>0.8666666667</v>
      </c>
      <c r="N140" s="4">
        <f t="shared" si="140"/>
        <v>4.55</v>
      </c>
      <c r="O140" s="4">
        <f t="shared" si="140"/>
        <v>1.233333333</v>
      </c>
    </row>
    <row r="141">
      <c r="A141" s="7" t="s">
        <v>281</v>
      </c>
      <c r="B141" s="7" t="s">
        <v>281</v>
      </c>
      <c r="C141" s="1" t="s">
        <v>244</v>
      </c>
      <c r="D141" s="1" t="s">
        <v>55</v>
      </c>
      <c r="E141" s="1">
        <v>75.0</v>
      </c>
      <c r="F141" s="3">
        <f t="shared" si="2"/>
        <v>60</v>
      </c>
      <c r="H141" s="1">
        <v>117502.0</v>
      </c>
      <c r="I141" s="1">
        <v>62.0</v>
      </c>
      <c r="J141" s="1">
        <v>257.0</v>
      </c>
      <c r="K141" s="1">
        <v>60.0</v>
      </c>
      <c r="L141" s="4">
        <f t="shared" ref="L141:O141" si="141">if($G141=0,H141/$F141,H141/$F141/$G141)</f>
        <v>1958.366667</v>
      </c>
      <c r="M141" s="4">
        <f t="shared" si="141"/>
        <v>1.033333333</v>
      </c>
      <c r="N141" s="4">
        <f t="shared" si="141"/>
        <v>4.283333333</v>
      </c>
      <c r="O141" s="4">
        <f t="shared" si="141"/>
        <v>1</v>
      </c>
    </row>
    <row r="142">
      <c r="A142" s="7" t="s">
        <v>282</v>
      </c>
      <c r="B142" s="7" t="s">
        <v>282</v>
      </c>
      <c r="C142" s="1" t="s">
        <v>244</v>
      </c>
      <c r="D142" s="1" t="s">
        <v>57</v>
      </c>
      <c r="E142" s="1">
        <v>75.0</v>
      </c>
      <c r="F142" s="3">
        <f t="shared" si="2"/>
        <v>60</v>
      </c>
      <c r="H142" s="1">
        <v>119214.0</v>
      </c>
      <c r="I142" s="1">
        <v>44.0</v>
      </c>
      <c r="J142" s="1">
        <v>330.0</v>
      </c>
      <c r="K142" s="1">
        <v>76.0</v>
      </c>
      <c r="L142" s="4">
        <f t="shared" ref="L142:O142" si="142">if($G142=0,H142/$F142,H142/$F142/$G142)</f>
        <v>1986.9</v>
      </c>
      <c r="M142" s="4">
        <f t="shared" si="142"/>
        <v>0.7333333333</v>
      </c>
      <c r="N142" s="4">
        <f t="shared" si="142"/>
        <v>5.5</v>
      </c>
      <c r="O142" s="4">
        <f t="shared" si="142"/>
        <v>1.266666667</v>
      </c>
    </row>
    <row r="143">
      <c r="A143" s="7" t="s">
        <v>283</v>
      </c>
      <c r="B143" s="7" t="s">
        <v>283</v>
      </c>
      <c r="C143" s="1" t="s">
        <v>244</v>
      </c>
      <c r="D143" s="1" t="s">
        <v>59</v>
      </c>
      <c r="E143" s="1">
        <v>75.0</v>
      </c>
      <c r="F143" s="3">
        <f t="shared" si="2"/>
        <v>60</v>
      </c>
      <c r="H143" s="1">
        <v>122754.0</v>
      </c>
      <c r="I143" s="1">
        <v>62.0</v>
      </c>
      <c r="J143" s="1">
        <v>252.0</v>
      </c>
      <c r="K143" s="1">
        <v>57.0</v>
      </c>
      <c r="L143" s="4">
        <f t="shared" ref="L143:O143" si="143">if($G143=0,H143/$F143,H143/$F143/$G143)</f>
        <v>2045.9</v>
      </c>
      <c r="M143" s="4">
        <f t="shared" si="143"/>
        <v>1.033333333</v>
      </c>
      <c r="N143" s="4">
        <f t="shared" si="143"/>
        <v>4.2</v>
      </c>
      <c r="O143" s="4">
        <f t="shared" si="143"/>
        <v>0.95</v>
      </c>
    </row>
    <row r="144">
      <c r="A144" s="7" t="s">
        <v>284</v>
      </c>
      <c r="B144" s="7" t="s">
        <v>284</v>
      </c>
      <c r="C144" s="1" t="s">
        <v>244</v>
      </c>
      <c r="D144" s="1" t="s">
        <v>63</v>
      </c>
      <c r="E144" s="1">
        <v>75.0</v>
      </c>
      <c r="F144" s="3">
        <f t="shared" si="2"/>
        <v>60</v>
      </c>
      <c r="H144" s="1">
        <v>119661.0</v>
      </c>
      <c r="I144" s="1">
        <v>62.0</v>
      </c>
      <c r="J144" s="1">
        <v>272.0</v>
      </c>
      <c r="K144" s="1">
        <v>82.0</v>
      </c>
      <c r="L144" s="4">
        <f t="shared" ref="L144:O144" si="144">if($G144=0,H144/$F144,H144/$F144/$G144)</f>
        <v>1994.35</v>
      </c>
      <c r="M144" s="4">
        <f t="shared" si="144"/>
        <v>1.033333333</v>
      </c>
      <c r="N144" s="4">
        <f t="shared" si="144"/>
        <v>4.533333333</v>
      </c>
      <c r="O144" s="4">
        <f t="shared" si="144"/>
        <v>1.366666667</v>
      </c>
    </row>
    <row r="145">
      <c r="A145" s="7" t="s">
        <v>285</v>
      </c>
      <c r="B145" s="7" t="s">
        <v>285</v>
      </c>
      <c r="C145" s="1" t="s">
        <v>244</v>
      </c>
      <c r="D145" s="1" t="s">
        <v>65</v>
      </c>
      <c r="E145" s="1">
        <v>75.0</v>
      </c>
      <c r="F145" s="3">
        <f t="shared" si="2"/>
        <v>60</v>
      </c>
      <c r="H145" s="1">
        <v>119570.0</v>
      </c>
      <c r="I145" s="1">
        <v>71.0</v>
      </c>
      <c r="J145" s="1">
        <v>272.0</v>
      </c>
      <c r="K145" s="1">
        <v>63.0</v>
      </c>
      <c r="L145" s="4">
        <f t="shared" ref="L145:O145" si="145">if($G145=0,H145/$F145,H145/$F145/$G145)</f>
        <v>1992.833333</v>
      </c>
      <c r="M145" s="4">
        <f t="shared" si="145"/>
        <v>1.183333333</v>
      </c>
      <c r="N145" s="4">
        <f t="shared" si="145"/>
        <v>4.533333333</v>
      </c>
      <c r="O145" s="4">
        <f t="shared" si="145"/>
        <v>1.05</v>
      </c>
    </row>
    <row r="146">
      <c r="A146" s="7" t="s">
        <v>286</v>
      </c>
      <c r="B146" s="7" t="s">
        <v>286</v>
      </c>
      <c r="C146" s="1" t="s">
        <v>244</v>
      </c>
      <c r="D146" s="1" t="s">
        <v>67</v>
      </c>
      <c r="E146" s="1">
        <v>75.0</v>
      </c>
      <c r="F146" s="3">
        <f t="shared" si="2"/>
        <v>60</v>
      </c>
      <c r="H146" s="1">
        <v>114647.0</v>
      </c>
      <c r="I146" s="1">
        <v>56.0</v>
      </c>
      <c r="J146" s="1">
        <v>283.0</v>
      </c>
      <c r="K146" s="1">
        <v>63.0</v>
      </c>
      <c r="L146" s="4">
        <f t="shared" ref="L146:O146" si="146">if($G146=0,H146/$F146,H146/$F146/$G146)</f>
        <v>1910.783333</v>
      </c>
      <c r="M146" s="4">
        <f t="shared" si="146"/>
        <v>0.9333333333</v>
      </c>
      <c r="N146" s="4">
        <f t="shared" si="146"/>
        <v>4.716666667</v>
      </c>
      <c r="O146" s="4">
        <f t="shared" si="146"/>
        <v>1.05</v>
      </c>
    </row>
    <row r="147">
      <c r="A147" s="7" t="s">
        <v>287</v>
      </c>
      <c r="B147" s="7" t="s">
        <v>287</v>
      </c>
      <c r="C147" s="1" t="s">
        <v>288</v>
      </c>
      <c r="D147" s="1" t="s">
        <v>69</v>
      </c>
      <c r="E147" s="1">
        <v>75.0</v>
      </c>
      <c r="F147" s="3">
        <f t="shared" si="2"/>
        <v>60</v>
      </c>
      <c r="H147" s="1">
        <v>94608.0</v>
      </c>
      <c r="I147" s="1">
        <v>43.0</v>
      </c>
      <c r="J147" s="1">
        <v>292.0</v>
      </c>
      <c r="K147" s="1">
        <v>86.0</v>
      </c>
      <c r="L147" s="4">
        <f t="shared" ref="L147:O147" si="147">if($G147=0,H147/$F147,H147/$F147/$G147)</f>
        <v>1576.8</v>
      </c>
      <c r="M147" s="4">
        <f t="shared" si="147"/>
        <v>0.7166666667</v>
      </c>
      <c r="N147" s="4">
        <f t="shared" si="147"/>
        <v>4.866666667</v>
      </c>
      <c r="O147" s="4">
        <f t="shared" si="147"/>
        <v>1.433333333</v>
      </c>
    </row>
    <row r="148">
      <c r="A148" s="7" t="s">
        <v>289</v>
      </c>
      <c r="B148" s="7" t="s">
        <v>289</v>
      </c>
      <c r="C148" s="1" t="s">
        <v>288</v>
      </c>
      <c r="D148" s="1" t="s">
        <v>71</v>
      </c>
      <c r="E148" s="1">
        <v>75.0</v>
      </c>
      <c r="F148" s="3">
        <f t="shared" si="2"/>
        <v>60</v>
      </c>
      <c r="H148" s="1">
        <v>97139.0</v>
      </c>
      <c r="I148" s="1">
        <v>38.0</v>
      </c>
      <c r="J148" s="1">
        <v>260.0</v>
      </c>
      <c r="K148" s="1">
        <v>72.0</v>
      </c>
      <c r="L148" s="4">
        <f t="shared" ref="L148:O148" si="148">if($G148=0,H148/$F148,H148/$F148/$G148)</f>
        <v>1618.983333</v>
      </c>
      <c r="M148" s="4">
        <f t="shared" si="148"/>
        <v>0.6333333333</v>
      </c>
      <c r="N148" s="4">
        <f t="shared" si="148"/>
        <v>4.333333333</v>
      </c>
      <c r="O148" s="4">
        <f t="shared" si="148"/>
        <v>1.2</v>
      </c>
    </row>
    <row r="149">
      <c r="A149" s="7" t="s">
        <v>290</v>
      </c>
      <c r="B149" s="7" t="s">
        <v>290</v>
      </c>
      <c r="C149" s="1" t="s">
        <v>288</v>
      </c>
      <c r="D149" s="1" t="s">
        <v>73</v>
      </c>
      <c r="E149" s="1">
        <v>75.0</v>
      </c>
      <c r="F149" s="3">
        <f t="shared" si="2"/>
        <v>60</v>
      </c>
      <c r="H149" s="1">
        <v>95413.0</v>
      </c>
      <c r="I149" s="1">
        <v>44.0</v>
      </c>
      <c r="J149" s="1">
        <v>300.0</v>
      </c>
      <c r="K149" s="1">
        <v>61.0</v>
      </c>
      <c r="L149" s="4">
        <f t="shared" ref="L149:O149" si="149">if($G149=0,H149/$F149,H149/$F149/$G149)</f>
        <v>1590.216667</v>
      </c>
      <c r="M149" s="4">
        <f t="shared" si="149"/>
        <v>0.7333333333</v>
      </c>
      <c r="N149" s="4">
        <f t="shared" si="149"/>
        <v>5</v>
      </c>
      <c r="O149" s="4">
        <f t="shared" si="149"/>
        <v>1.016666667</v>
      </c>
    </row>
    <row r="150">
      <c r="A150" s="7" t="s">
        <v>291</v>
      </c>
      <c r="B150" s="7" t="s">
        <v>291</v>
      </c>
      <c r="C150" s="1" t="s">
        <v>288</v>
      </c>
      <c r="D150" s="1" t="s">
        <v>75</v>
      </c>
      <c r="E150" s="1">
        <v>75.0</v>
      </c>
      <c r="F150" s="3">
        <f t="shared" si="2"/>
        <v>60</v>
      </c>
      <c r="H150" s="1">
        <v>241129.0</v>
      </c>
      <c r="I150" s="1">
        <v>40.0</v>
      </c>
      <c r="J150" s="1">
        <v>299.0</v>
      </c>
      <c r="K150" s="1">
        <v>71.0</v>
      </c>
      <c r="L150" s="4">
        <f t="shared" ref="L150:O150" si="150">if($G150=0,H150/$F150,H150/$F150/$G150)</f>
        <v>4018.816667</v>
      </c>
      <c r="M150" s="4">
        <f t="shared" si="150"/>
        <v>0.6666666667</v>
      </c>
      <c r="N150" s="4">
        <f t="shared" si="150"/>
        <v>4.983333333</v>
      </c>
      <c r="O150" s="4">
        <f t="shared" si="150"/>
        <v>1.183333333</v>
      </c>
    </row>
    <row r="151">
      <c r="A151" s="7" t="s">
        <v>292</v>
      </c>
      <c r="B151" s="7" t="s">
        <v>292</v>
      </c>
      <c r="C151" s="1" t="s">
        <v>288</v>
      </c>
      <c r="D151" s="1" t="s">
        <v>90</v>
      </c>
      <c r="E151" s="1">
        <v>75.0</v>
      </c>
      <c r="F151" s="3">
        <f t="shared" si="2"/>
        <v>60</v>
      </c>
      <c r="H151" s="1">
        <v>119513.0</v>
      </c>
      <c r="I151" s="1">
        <v>77.0</v>
      </c>
      <c r="J151" s="1">
        <v>282.0</v>
      </c>
      <c r="K151" s="1">
        <v>79.0</v>
      </c>
      <c r="L151" s="4">
        <f t="shared" ref="L151:O151" si="151">if($G151=0,H151/$F151,H151/$F151/$G151)</f>
        <v>1991.883333</v>
      </c>
      <c r="M151" s="4">
        <f t="shared" si="151"/>
        <v>1.283333333</v>
      </c>
      <c r="N151" s="4">
        <f t="shared" si="151"/>
        <v>4.7</v>
      </c>
      <c r="O151" s="4">
        <f t="shared" si="151"/>
        <v>1.316666667</v>
      </c>
    </row>
    <row r="152">
      <c r="A152" s="7" t="s">
        <v>293</v>
      </c>
      <c r="B152" s="7" t="s">
        <v>293</v>
      </c>
      <c r="C152" s="1" t="s">
        <v>288</v>
      </c>
      <c r="D152" s="1" t="s">
        <v>92</v>
      </c>
      <c r="E152" s="1">
        <v>75.0</v>
      </c>
      <c r="F152" s="3">
        <f t="shared" si="2"/>
        <v>60</v>
      </c>
      <c r="H152" s="1">
        <v>114509.0</v>
      </c>
      <c r="I152" s="1">
        <v>66.0</v>
      </c>
      <c r="J152" s="1">
        <v>315.0</v>
      </c>
      <c r="K152" s="1">
        <v>57.0</v>
      </c>
      <c r="L152" s="4">
        <f t="shared" ref="L152:O152" si="152">if($G152=0,H152/$F152,H152/$F152/$G152)</f>
        <v>1908.483333</v>
      </c>
      <c r="M152" s="4">
        <f t="shared" si="152"/>
        <v>1.1</v>
      </c>
      <c r="N152" s="4">
        <f t="shared" si="152"/>
        <v>5.25</v>
      </c>
      <c r="O152" s="4">
        <f t="shared" si="152"/>
        <v>0.95</v>
      </c>
    </row>
    <row r="153">
      <c r="A153" s="7" t="s">
        <v>294</v>
      </c>
      <c r="B153" s="7" t="s">
        <v>294</v>
      </c>
      <c r="C153" s="1" t="s">
        <v>288</v>
      </c>
      <c r="D153" s="1" t="s">
        <v>94</v>
      </c>
      <c r="E153" s="1">
        <v>75.0</v>
      </c>
      <c r="F153" s="3">
        <f t="shared" si="2"/>
        <v>60</v>
      </c>
      <c r="H153" s="1">
        <v>309687.0</v>
      </c>
      <c r="I153" s="1">
        <v>36.0</v>
      </c>
      <c r="J153" s="1">
        <v>272.0</v>
      </c>
      <c r="K153" s="1">
        <v>73.0</v>
      </c>
      <c r="L153" s="4">
        <f t="shared" ref="L153:O153" si="153">if($G153=0,H153/$F153,H153/$F153/$G153)</f>
        <v>5161.45</v>
      </c>
      <c r="M153" s="4">
        <f t="shared" si="153"/>
        <v>0.6</v>
      </c>
      <c r="N153" s="4">
        <f t="shared" si="153"/>
        <v>4.533333333</v>
      </c>
      <c r="O153" s="4">
        <f t="shared" si="153"/>
        <v>1.216666667</v>
      </c>
    </row>
    <row r="154">
      <c r="A154" s="7" t="s">
        <v>295</v>
      </c>
      <c r="B154" s="7" t="s">
        <v>295</v>
      </c>
      <c r="C154" s="1" t="s">
        <v>288</v>
      </c>
      <c r="D154" s="1" t="s">
        <v>96</v>
      </c>
      <c r="E154" s="1">
        <v>75.0</v>
      </c>
      <c r="F154" s="3">
        <f t="shared" si="2"/>
        <v>60</v>
      </c>
      <c r="H154" s="1">
        <v>366804.0</v>
      </c>
      <c r="I154" s="1">
        <v>41.0</v>
      </c>
      <c r="J154" s="1">
        <v>227.0</v>
      </c>
      <c r="K154" s="1">
        <v>76.0</v>
      </c>
      <c r="L154" s="4">
        <f t="shared" ref="L154:O154" si="154">if($G154=0,H154/$F154,H154/$F154/$G154)</f>
        <v>6113.4</v>
      </c>
      <c r="M154" s="4">
        <f t="shared" si="154"/>
        <v>0.6833333333</v>
      </c>
      <c r="N154" s="4">
        <f t="shared" si="154"/>
        <v>3.783333333</v>
      </c>
      <c r="O154" s="4">
        <f t="shared" si="154"/>
        <v>1.266666667</v>
      </c>
    </row>
    <row r="155">
      <c r="A155" s="7" t="s">
        <v>296</v>
      </c>
      <c r="B155" s="7" t="s">
        <v>296</v>
      </c>
      <c r="C155" s="1" t="s">
        <v>288</v>
      </c>
      <c r="D155" s="1" t="s">
        <v>98</v>
      </c>
      <c r="E155" s="1">
        <v>75.0</v>
      </c>
      <c r="F155" s="3">
        <f t="shared" si="2"/>
        <v>60</v>
      </c>
      <c r="H155" s="1">
        <v>534599.0</v>
      </c>
      <c r="I155" s="1">
        <v>36.0</v>
      </c>
      <c r="J155" s="1">
        <v>271.0</v>
      </c>
      <c r="K155" s="1">
        <v>61.0</v>
      </c>
      <c r="L155" s="4">
        <f t="shared" ref="L155:O155" si="155">if($G155=0,H155/$F155,H155/$F155/$G155)</f>
        <v>8909.983333</v>
      </c>
      <c r="M155" s="4">
        <f t="shared" si="155"/>
        <v>0.6</v>
      </c>
      <c r="N155" s="4">
        <f t="shared" si="155"/>
        <v>4.516666667</v>
      </c>
      <c r="O155" s="4">
        <f t="shared" si="155"/>
        <v>1.016666667</v>
      </c>
    </row>
    <row r="156">
      <c r="A156" s="7" t="s">
        <v>297</v>
      </c>
      <c r="B156" s="7" t="s">
        <v>297</v>
      </c>
      <c r="C156" s="1" t="s">
        <v>288</v>
      </c>
      <c r="D156" s="1" t="s">
        <v>100</v>
      </c>
      <c r="E156" s="1">
        <v>75.0</v>
      </c>
      <c r="F156" s="3">
        <f t="shared" si="2"/>
        <v>60</v>
      </c>
      <c r="H156" s="1">
        <v>358284.0</v>
      </c>
      <c r="I156" s="1">
        <v>47.0</v>
      </c>
      <c r="J156" s="1">
        <v>272.0</v>
      </c>
      <c r="K156" s="1">
        <v>66.0</v>
      </c>
      <c r="L156" s="4">
        <f t="shared" ref="L156:O156" si="156">if($G156=0,H156/$F156,H156/$F156/$G156)</f>
        <v>5971.4</v>
      </c>
      <c r="M156" s="4">
        <f t="shared" si="156"/>
        <v>0.7833333333</v>
      </c>
      <c r="N156" s="4">
        <f t="shared" si="156"/>
        <v>4.533333333</v>
      </c>
      <c r="O156" s="4">
        <f t="shared" si="156"/>
        <v>1.1</v>
      </c>
    </row>
    <row r="157">
      <c r="A157" s="7" t="s">
        <v>298</v>
      </c>
      <c r="B157" s="7" t="s">
        <v>298</v>
      </c>
      <c r="C157" s="1" t="s">
        <v>288</v>
      </c>
      <c r="D157" s="1" t="s">
        <v>102</v>
      </c>
      <c r="E157" s="1">
        <v>75.0</v>
      </c>
      <c r="F157" s="3">
        <f t="shared" si="2"/>
        <v>60</v>
      </c>
      <c r="H157" s="1">
        <v>362826.0</v>
      </c>
      <c r="I157" s="1">
        <v>50.0</v>
      </c>
      <c r="J157" s="1">
        <v>275.0</v>
      </c>
      <c r="K157" s="1">
        <v>49.0</v>
      </c>
      <c r="L157" s="4">
        <f t="shared" ref="L157:O157" si="157">if($G157=0,H157/$F157,H157/$F157/$G157)</f>
        <v>6047.1</v>
      </c>
      <c r="M157" s="4">
        <f t="shared" si="157"/>
        <v>0.8333333333</v>
      </c>
      <c r="N157" s="4">
        <f t="shared" si="157"/>
        <v>4.583333333</v>
      </c>
      <c r="O157" s="4">
        <f t="shared" si="157"/>
        <v>0.8166666667</v>
      </c>
    </row>
    <row r="158">
      <c r="A158" s="7" t="s">
        <v>299</v>
      </c>
      <c r="B158" s="7" t="s">
        <v>299</v>
      </c>
      <c r="C158" s="1" t="s">
        <v>288</v>
      </c>
      <c r="D158" s="1" t="s">
        <v>104</v>
      </c>
      <c r="E158" s="1">
        <v>75.0</v>
      </c>
      <c r="F158" s="3">
        <f t="shared" si="2"/>
        <v>60</v>
      </c>
      <c r="G158" s="1">
        <v>0.2</v>
      </c>
      <c r="H158" s="1">
        <v>166043.0</v>
      </c>
      <c r="I158" s="1">
        <v>18.0</v>
      </c>
      <c r="J158" s="1">
        <v>67.0</v>
      </c>
      <c r="K158" s="1">
        <v>18.0</v>
      </c>
      <c r="L158" s="4">
        <f t="shared" ref="L158:O158" si="158">if($G158=0,H158/$F158,H158/$F158/$G158)</f>
        <v>13836.91667</v>
      </c>
      <c r="M158" s="4">
        <f t="shared" si="158"/>
        <v>1.5</v>
      </c>
      <c r="N158" s="4">
        <f t="shared" si="158"/>
        <v>5.583333333</v>
      </c>
      <c r="O158" s="4">
        <f t="shared" si="158"/>
        <v>1.5</v>
      </c>
    </row>
    <row r="159">
      <c r="A159" s="7" t="s">
        <v>300</v>
      </c>
      <c r="B159" s="7" t="s">
        <v>300</v>
      </c>
      <c r="C159" s="1" t="s">
        <v>288</v>
      </c>
      <c r="D159" s="1" t="s">
        <v>106</v>
      </c>
      <c r="E159" s="1">
        <v>75.0</v>
      </c>
      <c r="F159" s="3">
        <f t="shared" si="2"/>
        <v>60</v>
      </c>
      <c r="G159" s="1">
        <v>0.2</v>
      </c>
      <c r="H159" s="1">
        <v>21058.0</v>
      </c>
      <c r="I159" s="1">
        <v>15.0</v>
      </c>
      <c r="J159" s="1">
        <v>53.0</v>
      </c>
      <c r="K159" s="1">
        <v>15.0</v>
      </c>
      <c r="L159" s="4">
        <f t="shared" ref="L159:O159" si="159">if($G159=0,H159/$F159,H159/$F159/$G159)</f>
        <v>1754.833333</v>
      </c>
      <c r="M159" s="4">
        <f t="shared" si="159"/>
        <v>1.25</v>
      </c>
      <c r="N159" s="4">
        <f t="shared" si="159"/>
        <v>4.416666667</v>
      </c>
      <c r="O159" s="4">
        <f t="shared" si="159"/>
        <v>1.25</v>
      </c>
    </row>
    <row r="160">
      <c r="A160" s="7" t="s">
        <v>301</v>
      </c>
      <c r="B160" s="7" t="s">
        <v>301</v>
      </c>
      <c r="C160" s="1" t="s">
        <v>288</v>
      </c>
      <c r="D160" s="1" t="s">
        <v>108</v>
      </c>
      <c r="E160" s="1">
        <v>75.0</v>
      </c>
      <c r="F160" s="3">
        <f t="shared" si="2"/>
        <v>60</v>
      </c>
      <c r="G160" s="1">
        <v>0.2</v>
      </c>
      <c r="H160" s="1">
        <v>185832.0</v>
      </c>
      <c r="I160" s="1">
        <v>12.0</v>
      </c>
      <c r="J160" s="1">
        <v>40.0</v>
      </c>
      <c r="K160" s="1">
        <v>16.0</v>
      </c>
      <c r="L160" s="4">
        <f t="shared" ref="L160:O160" si="160">if($G160=0,H160/$F160,H160/$F160/$G160)</f>
        <v>15486</v>
      </c>
      <c r="M160" s="4">
        <f t="shared" si="160"/>
        <v>1</v>
      </c>
      <c r="N160" s="4">
        <f t="shared" si="160"/>
        <v>3.333333333</v>
      </c>
      <c r="O160" s="4">
        <f t="shared" si="160"/>
        <v>1.333333333</v>
      </c>
    </row>
    <row r="161">
      <c r="A161" s="7" t="s">
        <v>302</v>
      </c>
      <c r="B161" s="7" t="s">
        <v>302</v>
      </c>
      <c r="C161" s="1" t="s">
        <v>288</v>
      </c>
      <c r="D161" s="1" t="s">
        <v>110</v>
      </c>
      <c r="E161" s="1">
        <v>75.0</v>
      </c>
      <c r="F161" s="3">
        <f t="shared" si="2"/>
        <v>60</v>
      </c>
      <c r="H161" s="1">
        <v>138122.0</v>
      </c>
      <c r="I161" s="1">
        <v>54.0</v>
      </c>
      <c r="J161" s="1">
        <v>308.0</v>
      </c>
      <c r="K161" s="1">
        <v>79.0</v>
      </c>
      <c r="L161" s="4">
        <f t="shared" ref="L161:O161" si="161">if($G161=0,H161/$F161,H161/$F161/$G161)</f>
        <v>2302.033333</v>
      </c>
      <c r="M161" s="4">
        <f t="shared" si="161"/>
        <v>0.9</v>
      </c>
      <c r="N161" s="4">
        <f t="shared" si="161"/>
        <v>5.133333333</v>
      </c>
      <c r="O161" s="4">
        <f t="shared" si="161"/>
        <v>1.316666667</v>
      </c>
    </row>
    <row r="162">
      <c r="A162" s="7" t="s">
        <v>303</v>
      </c>
      <c r="B162" s="7" t="s">
        <v>303</v>
      </c>
      <c r="C162" s="1" t="s">
        <v>288</v>
      </c>
      <c r="D162" s="1" t="s">
        <v>304</v>
      </c>
      <c r="E162" s="1">
        <v>75.0</v>
      </c>
      <c r="F162" s="3">
        <f t="shared" si="2"/>
        <v>60</v>
      </c>
      <c r="H162" s="1">
        <v>131288.0</v>
      </c>
      <c r="I162" s="1">
        <v>61.0</v>
      </c>
      <c r="J162" s="1">
        <v>299.0</v>
      </c>
      <c r="K162" s="1">
        <v>87.0</v>
      </c>
      <c r="L162" s="4">
        <f t="shared" ref="L162:O162" si="162">if($G162=0,H162/$F162,H162/$F162/$G162)</f>
        <v>2188.133333</v>
      </c>
      <c r="M162" s="4">
        <f t="shared" si="162"/>
        <v>1.016666667</v>
      </c>
      <c r="N162" s="4">
        <f t="shared" si="162"/>
        <v>4.983333333</v>
      </c>
      <c r="O162" s="4">
        <f t="shared" si="162"/>
        <v>1.45</v>
      </c>
    </row>
    <row r="163">
      <c r="A163" s="7" t="s">
        <v>305</v>
      </c>
      <c r="B163" s="7" t="s">
        <v>305</v>
      </c>
      <c r="C163" s="1" t="s">
        <v>288</v>
      </c>
      <c r="D163" s="1" t="s">
        <v>115</v>
      </c>
      <c r="E163" s="1">
        <v>75.0</v>
      </c>
      <c r="F163" s="3">
        <f t="shared" si="2"/>
        <v>60</v>
      </c>
      <c r="H163" s="1">
        <v>137297.0</v>
      </c>
      <c r="I163" s="1">
        <v>54.0</v>
      </c>
      <c r="J163" s="1">
        <v>304.0</v>
      </c>
      <c r="K163" s="1">
        <v>75.0</v>
      </c>
      <c r="L163" s="4">
        <f t="shared" ref="L163:O163" si="163">if($G163=0,H163/$F163,H163/$F163/$G163)</f>
        <v>2288.283333</v>
      </c>
      <c r="M163" s="4">
        <f t="shared" si="163"/>
        <v>0.9</v>
      </c>
      <c r="N163" s="4">
        <f t="shared" si="163"/>
        <v>5.066666667</v>
      </c>
      <c r="O163" s="4">
        <f t="shared" si="163"/>
        <v>1.25</v>
      </c>
    </row>
    <row r="164">
      <c r="A164" s="7" t="s">
        <v>306</v>
      </c>
      <c r="B164" s="7" t="s">
        <v>306</v>
      </c>
      <c r="C164" s="1" t="s">
        <v>288</v>
      </c>
      <c r="D164" s="1" t="s">
        <v>307</v>
      </c>
      <c r="E164" s="1">
        <v>75.0</v>
      </c>
      <c r="F164" s="3">
        <f t="shared" si="2"/>
        <v>60</v>
      </c>
      <c r="H164" s="1">
        <v>290554.0</v>
      </c>
      <c r="I164" s="1">
        <v>39.0</v>
      </c>
      <c r="J164" s="1">
        <v>269.0</v>
      </c>
      <c r="K164" s="1">
        <v>64.0</v>
      </c>
      <c r="L164" s="4">
        <f t="shared" ref="L164:O164" si="164">if($G164=0,H164/$F164,H164/$F164/$G164)</f>
        <v>4842.566667</v>
      </c>
      <c r="M164" s="4">
        <f t="shared" si="164"/>
        <v>0.65</v>
      </c>
      <c r="N164" s="4">
        <f t="shared" si="164"/>
        <v>4.483333333</v>
      </c>
      <c r="O164" s="4">
        <f t="shared" si="164"/>
        <v>1.066666667</v>
      </c>
    </row>
    <row r="165">
      <c r="A165" s="7" t="s">
        <v>308</v>
      </c>
      <c r="B165" s="7" t="s">
        <v>308</v>
      </c>
      <c r="C165" s="1" t="s">
        <v>288</v>
      </c>
      <c r="D165" s="1" t="s">
        <v>122</v>
      </c>
      <c r="E165" s="1">
        <v>75.0</v>
      </c>
      <c r="F165" s="3">
        <f t="shared" si="2"/>
        <v>60</v>
      </c>
      <c r="H165" s="1">
        <v>349515.0</v>
      </c>
      <c r="I165" s="1">
        <v>47.0</v>
      </c>
      <c r="J165" s="1">
        <v>288.0</v>
      </c>
      <c r="K165" s="1">
        <v>70.0</v>
      </c>
      <c r="L165" s="4">
        <f t="shared" ref="L165:O165" si="165">if($G165=0,H165/$F165,H165/$F165/$G165)</f>
        <v>5825.25</v>
      </c>
      <c r="M165" s="4">
        <f t="shared" si="165"/>
        <v>0.7833333333</v>
      </c>
      <c r="N165" s="4">
        <f t="shared" si="165"/>
        <v>4.8</v>
      </c>
      <c r="O165" s="4">
        <f t="shared" si="165"/>
        <v>1.166666667</v>
      </c>
    </row>
    <row r="166">
      <c r="A166" s="7" t="s">
        <v>309</v>
      </c>
      <c r="B166" s="7" t="s">
        <v>309</v>
      </c>
      <c r="C166" s="1" t="s">
        <v>288</v>
      </c>
      <c r="D166" s="1" t="s">
        <v>124</v>
      </c>
      <c r="E166" s="1">
        <v>75.0</v>
      </c>
      <c r="F166" s="3">
        <f t="shared" si="2"/>
        <v>60</v>
      </c>
      <c r="H166" s="1">
        <v>424855.0</v>
      </c>
      <c r="I166" s="1">
        <v>41.0</v>
      </c>
      <c r="J166" s="1">
        <v>257.0</v>
      </c>
      <c r="K166" s="1">
        <v>62.0</v>
      </c>
      <c r="L166" s="4">
        <f t="shared" ref="L166:O166" si="166">if($G166=0,H166/$F166,H166/$F166/$G166)</f>
        <v>7080.916667</v>
      </c>
      <c r="M166" s="4">
        <f t="shared" si="166"/>
        <v>0.6833333333</v>
      </c>
      <c r="N166" s="4">
        <f t="shared" si="166"/>
        <v>4.283333333</v>
      </c>
      <c r="O166" s="4">
        <f t="shared" si="166"/>
        <v>1.033333333</v>
      </c>
    </row>
    <row r="167">
      <c r="A167" s="7" t="s">
        <v>310</v>
      </c>
      <c r="B167" s="7" t="s">
        <v>310</v>
      </c>
      <c r="C167" s="1" t="s">
        <v>288</v>
      </c>
      <c r="D167" s="1" t="s">
        <v>126</v>
      </c>
      <c r="E167" s="1">
        <v>75.0</v>
      </c>
      <c r="F167" s="3">
        <f t="shared" si="2"/>
        <v>60</v>
      </c>
      <c r="H167" s="1">
        <v>421389.0</v>
      </c>
      <c r="I167" s="1">
        <v>29.0</v>
      </c>
      <c r="J167" s="1">
        <v>264.0</v>
      </c>
      <c r="K167" s="1">
        <v>65.0</v>
      </c>
      <c r="L167" s="4">
        <f t="shared" ref="L167:O167" si="167">if($G167=0,H167/$F167,H167/$F167/$G167)</f>
        <v>7023.15</v>
      </c>
      <c r="M167" s="4">
        <f t="shared" si="167"/>
        <v>0.4833333333</v>
      </c>
      <c r="N167" s="4">
        <f t="shared" si="167"/>
        <v>4.4</v>
      </c>
      <c r="O167" s="4">
        <f t="shared" si="167"/>
        <v>1.083333333</v>
      </c>
    </row>
    <row r="168">
      <c r="A168" s="7" t="s">
        <v>311</v>
      </c>
      <c r="B168" s="7" t="s">
        <v>311</v>
      </c>
      <c r="C168" s="1" t="s">
        <v>288</v>
      </c>
      <c r="D168" s="1" t="s">
        <v>128</v>
      </c>
      <c r="E168" s="1">
        <v>75.0</v>
      </c>
      <c r="F168" s="3">
        <f t="shared" si="2"/>
        <v>60</v>
      </c>
      <c r="H168" s="1">
        <v>414508.0</v>
      </c>
      <c r="I168" s="1">
        <v>43.0</v>
      </c>
      <c r="J168" s="1">
        <v>293.0</v>
      </c>
      <c r="K168" s="1">
        <v>56.0</v>
      </c>
      <c r="L168" s="4">
        <f t="shared" ref="L168:O168" si="168">if($G168=0,H168/$F168,H168/$F168/$G168)</f>
        <v>6908.466667</v>
      </c>
      <c r="M168" s="4">
        <f t="shared" si="168"/>
        <v>0.7166666667</v>
      </c>
      <c r="N168" s="4">
        <f t="shared" si="168"/>
        <v>4.883333333</v>
      </c>
      <c r="O168" s="4">
        <f t="shared" si="168"/>
        <v>0.9333333333</v>
      </c>
    </row>
    <row r="169">
      <c r="A169" s="7" t="s">
        <v>312</v>
      </c>
      <c r="B169" s="7" t="s">
        <v>312</v>
      </c>
      <c r="C169" s="1" t="s">
        <v>288</v>
      </c>
      <c r="D169" s="1" t="s">
        <v>130</v>
      </c>
      <c r="E169" s="1">
        <v>75.0</v>
      </c>
      <c r="F169" s="3">
        <f t="shared" si="2"/>
        <v>60</v>
      </c>
      <c r="G169" s="1">
        <v>0.2</v>
      </c>
      <c r="H169" s="1">
        <v>96668.0</v>
      </c>
      <c r="I169" s="1">
        <v>11.0</v>
      </c>
      <c r="J169" s="1">
        <v>33.0</v>
      </c>
      <c r="K169" s="1">
        <v>6.0</v>
      </c>
      <c r="L169" s="4">
        <f t="shared" ref="L169:O169" si="169">if($G169=0,H169/$F169,H169/$F169/$G169)</f>
        <v>8055.666667</v>
      </c>
      <c r="M169" s="4">
        <f t="shared" si="169"/>
        <v>0.9166666667</v>
      </c>
      <c r="N169" s="4">
        <f t="shared" si="169"/>
        <v>2.75</v>
      </c>
      <c r="O169" s="4">
        <f t="shared" si="169"/>
        <v>0.5</v>
      </c>
    </row>
    <row r="170">
      <c r="A170" s="7" t="s">
        <v>313</v>
      </c>
      <c r="B170" s="7" t="s">
        <v>313</v>
      </c>
      <c r="C170" s="1" t="s">
        <v>288</v>
      </c>
      <c r="D170" s="1" t="s">
        <v>132</v>
      </c>
      <c r="E170" s="1">
        <v>75.0</v>
      </c>
      <c r="F170" s="3">
        <f t="shared" si="2"/>
        <v>60</v>
      </c>
      <c r="G170" s="1">
        <v>0.2</v>
      </c>
      <c r="H170" s="1">
        <v>259297.0</v>
      </c>
      <c r="I170" s="1">
        <v>15.0</v>
      </c>
      <c r="J170" s="1">
        <v>65.0</v>
      </c>
      <c r="K170" s="1">
        <v>11.0</v>
      </c>
      <c r="L170" s="4">
        <f t="shared" ref="L170:O170" si="170">if($G170=0,H170/$F170,H170/$F170/$G170)</f>
        <v>21608.08333</v>
      </c>
      <c r="M170" s="4">
        <f t="shared" si="170"/>
        <v>1.25</v>
      </c>
      <c r="N170" s="4">
        <f t="shared" si="170"/>
        <v>5.416666667</v>
      </c>
      <c r="O170" s="4">
        <f t="shared" si="170"/>
        <v>0.9166666667</v>
      </c>
    </row>
    <row r="171">
      <c r="A171" s="7" t="s">
        <v>314</v>
      </c>
      <c r="B171" s="7" t="s">
        <v>314</v>
      </c>
      <c r="C171" s="1" t="s">
        <v>288</v>
      </c>
      <c r="D171" s="1" t="s">
        <v>134</v>
      </c>
      <c r="E171" s="1">
        <v>75.0</v>
      </c>
      <c r="F171" s="3">
        <f t="shared" si="2"/>
        <v>60</v>
      </c>
      <c r="G171" s="1">
        <v>0.2</v>
      </c>
      <c r="H171" s="1">
        <v>301844.0</v>
      </c>
      <c r="I171" s="1">
        <v>11.0</v>
      </c>
      <c r="J171" s="1">
        <v>52.0</v>
      </c>
      <c r="K171" s="1">
        <v>14.0</v>
      </c>
      <c r="L171" s="4">
        <f t="shared" ref="L171:O171" si="171">if($G171=0,H171/$F171,H171/$F171/$G171)</f>
        <v>25153.66667</v>
      </c>
      <c r="M171" s="4">
        <f t="shared" si="171"/>
        <v>0.9166666667</v>
      </c>
      <c r="N171" s="4">
        <f t="shared" si="171"/>
        <v>4.333333333</v>
      </c>
      <c r="O171" s="4">
        <f t="shared" si="171"/>
        <v>1.166666667</v>
      </c>
    </row>
    <row r="172">
      <c r="A172" s="7" t="s">
        <v>315</v>
      </c>
      <c r="B172" s="7" t="s">
        <v>315</v>
      </c>
      <c r="C172" s="1" t="s">
        <v>288</v>
      </c>
      <c r="D172" s="1" t="s">
        <v>136</v>
      </c>
      <c r="E172" s="1">
        <v>75.0</v>
      </c>
      <c r="F172" s="3">
        <f t="shared" si="2"/>
        <v>60</v>
      </c>
      <c r="H172" s="1">
        <v>126534.0</v>
      </c>
      <c r="I172" s="1">
        <v>39.0</v>
      </c>
      <c r="J172" s="1">
        <v>275.0</v>
      </c>
      <c r="K172" s="1">
        <v>55.0</v>
      </c>
      <c r="L172" s="4">
        <f t="shared" ref="L172:O172" si="172">if($G172=0,H172/$F172,H172/$F172/$G172)</f>
        <v>2108.9</v>
      </c>
      <c r="M172" s="4">
        <f t="shared" si="172"/>
        <v>0.65</v>
      </c>
      <c r="N172" s="4">
        <f t="shared" si="172"/>
        <v>4.583333333</v>
      </c>
      <c r="O172" s="4">
        <f t="shared" si="172"/>
        <v>0.9166666667</v>
      </c>
    </row>
    <row r="173">
      <c r="A173" s="7" t="s">
        <v>316</v>
      </c>
      <c r="B173" s="7" t="s">
        <v>316</v>
      </c>
      <c r="C173" s="1" t="s">
        <v>288</v>
      </c>
      <c r="D173" s="1" t="s">
        <v>317</v>
      </c>
      <c r="E173" s="1">
        <v>75.0</v>
      </c>
      <c r="F173" s="3">
        <f t="shared" si="2"/>
        <v>60</v>
      </c>
      <c r="H173" s="1">
        <v>126647.0</v>
      </c>
      <c r="I173" s="1">
        <v>62.0</v>
      </c>
      <c r="J173" s="1">
        <v>281.0</v>
      </c>
      <c r="K173" s="1">
        <v>54.0</v>
      </c>
      <c r="L173" s="4">
        <f t="shared" ref="L173:O173" si="173">if($G173=0,H173/$F173,H173/$F173/$G173)</f>
        <v>2110.783333</v>
      </c>
      <c r="M173" s="4">
        <f t="shared" si="173"/>
        <v>1.033333333</v>
      </c>
      <c r="N173" s="4">
        <f t="shared" si="173"/>
        <v>4.683333333</v>
      </c>
      <c r="O173" s="4">
        <f t="shared" si="173"/>
        <v>0.9</v>
      </c>
    </row>
    <row r="174">
      <c r="A174" s="7" t="s">
        <v>318</v>
      </c>
      <c r="B174" s="7" t="s">
        <v>318</v>
      </c>
      <c r="C174" s="1" t="s">
        <v>288</v>
      </c>
      <c r="D174" s="1" t="s">
        <v>319</v>
      </c>
      <c r="E174" s="1">
        <v>75.0</v>
      </c>
      <c r="F174" s="3">
        <f t="shared" si="2"/>
        <v>60</v>
      </c>
      <c r="H174" s="1">
        <v>129210.0</v>
      </c>
      <c r="I174" s="1">
        <v>60.0</v>
      </c>
      <c r="J174" s="1">
        <v>295.0</v>
      </c>
      <c r="K174" s="1">
        <v>60.0</v>
      </c>
      <c r="L174" s="4">
        <f t="shared" ref="L174:O174" si="174">if($G174=0,H174/$F174,H174/$F174/$G174)</f>
        <v>2153.5</v>
      </c>
      <c r="M174" s="4">
        <f t="shared" si="174"/>
        <v>1</v>
      </c>
      <c r="N174" s="4">
        <f t="shared" si="174"/>
        <v>4.916666667</v>
      </c>
      <c r="O174" s="4">
        <f t="shared" si="174"/>
        <v>1</v>
      </c>
    </row>
    <row r="175">
      <c r="A175" s="7" t="s">
        <v>320</v>
      </c>
      <c r="B175" s="7" t="s">
        <v>320</v>
      </c>
      <c r="C175" s="1" t="s">
        <v>288</v>
      </c>
      <c r="D175" s="1" t="s">
        <v>321</v>
      </c>
      <c r="E175" s="1">
        <v>75.0</v>
      </c>
      <c r="F175" s="3">
        <f t="shared" si="2"/>
        <v>60</v>
      </c>
      <c r="H175" s="1">
        <v>125004.0</v>
      </c>
      <c r="I175" s="1">
        <v>44.0</v>
      </c>
      <c r="J175" s="1">
        <v>231.0</v>
      </c>
      <c r="K175" s="1">
        <v>62.0</v>
      </c>
      <c r="L175" s="4">
        <f t="shared" ref="L175:O175" si="175">if($G175=0,H175/$F175,H175/$F175/$G175)</f>
        <v>2083.4</v>
      </c>
      <c r="M175" s="4">
        <f t="shared" si="175"/>
        <v>0.7333333333</v>
      </c>
      <c r="N175" s="4">
        <f t="shared" si="175"/>
        <v>3.85</v>
      </c>
      <c r="O175" s="4">
        <f t="shared" si="175"/>
        <v>1.033333333</v>
      </c>
    </row>
    <row r="176">
      <c r="A176" s="7" t="s">
        <v>322</v>
      </c>
      <c r="B176" s="7" t="s">
        <v>322</v>
      </c>
      <c r="C176" s="1" t="s">
        <v>288</v>
      </c>
      <c r="D176" s="1" t="s">
        <v>147</v>
      </c>
      <c r="E176" s="1">
        <v>75.0</v>
      </c>
      <c r="F176" s="3">
        <f t="shared" si="2"/>
        <v>60</v>
      </c>
      <c r="H176" s="1">
        <v>123629.0</v>
      </c>
      <c r="I176" s="1">
        <v>57.0</v>
      </c>
      <c r="J176" s="1">
        <v>271.0</v>
      </c>
      <c r="K176" s="1">
        <v>65.0</v>
      </c>
      <c r="L176" s="4">
        <f t="shared" ref="L176:O176" si="176">if($G176=0,H176/$F176,H176/$F176/$G176)</f>
        <v>2060.483333</v>
      </c>
      <c r="M176" s="4">
        <f t="shared" si="176"/>
        <v>0.95</v>
      </c>
      <c r="N176" s="4">
        <f t="shared" si="176"/>
        <v>4.516666667</v>
      </c>
      <c r="O176" s="4">
        <f t="shared" si="176"/>
        <v>1.083333333</v>
      </c>
    </row>
    <row r="177">
      <c r="A177" s="7" t="s">
        <v>323</v>
      </c>
      <c r="B177" s="7" t="s">
        <v>323</v>
      </c>
      <c r="C177" s="1" t="s">
        <v>288</v>
      </c>
      <c r="D177" s="1" t="s">
        <v>149</v>
      </c>
      <c r="E177" s="1">
        <v>75.1</v>
      </c>
      <c r="F177" s="3">
        <f t="shared" si="2"/>
        <v>60.1</v>
      </c>
      <c r="H177" s="1">
        <v>119040.0</v>
      </c>
      <c r="I177" s="1">
        <v>47.0</v>
      </c>
      <c r="J177" s="1">
        <v>269.0</v>
      </c>
      <c r="K177" s="1">
        <v>73.0</v>
      </c>
      <c r="L177" s="4">
        <f t="shared" ref="L177:O177" si="177">if($G177=0,H177/$F177,H177/$F177/$G177)</f>
        <v>1980.698835</v>
      </c>
      <c r="M177" s="4">
        <f t="shared" si="177"/>
        <v>0.7820299501</v>
      </c>
      <c r="N177" s="4">
        <f t="shared" si="177"/>
        <v>4.475873544</v>
      </c>
      <c r="O177" s="4">
        <f t="shared" si="177"/>
        <v>1.214642263</v>
      </c>
    </row>
    <row r="178">
      <c r="A178" s="7" t="s">
        <v>324</v>
      </c>
      <c r="B178" s="7" t="s">
        <v>324</v>
      </c>
      <c r="C178" s="1" t="s">
        <v>288</v>
      </c>
      <c r="D178" s="1" t="s">
        <v>151</v>
      </c>
      <c r="E178" s="1">
        <v>75.0</v>
      </c>
      <c r="F178" s="3">
        <f t="shared" si="2"/>
        <v>60</v>
      </c>
      <c r="H178" s="1">
        <v>121024.0</v>
      </c>
      <c r="I178" s="1">
        <v>46.0</v>
      </c>
      <c r="J178" s="1">
        <v>264.0</v>
      </c>
      <c r="K178" s="1">
        <v>71.0</v>
      </c>
      <c r="L178" s="4">
        <f t="shared" ref="L178:O178" si="178">if($G178=0,H178/$F178,H178/$F178/$G178)</f>
        <v>2017.066667</v>
      </c>
      <c r="M178" s="4">
        <f t="shared" si="178"/>
        <v>0.7666666667</v>
      </c>
      <c r="N178" s="4">
        <f t="shared" si="178"/>
        <v>4.4</v>
      </c>
      <c r="O178" s="4">
        <f t="shared" si="178"/>
        <v>1.183333333</v>
      </c>
    </row>
    <row r="179">
      <c r="A179" s="7" t="s">
        <v>325</v>
      </c>
      <c r="B179" s="7" t="s">
        <v>325</v>
      </c>
      <c r="C179" s="1" t="s">
        <v>288</v>
      </c>
      <c r="D179" s="1" t="s">
        <v>153</v>
      </c>
      <c r="E179" s="1">
        <v>75.0</v>
      </c>
      <c r="F179" s="3">
        <f t="shared" si="2"/>
        <v>60</v>
      </c>
      <c r="H179" s="1">
        <v>122304.0</v>
      </c>
      <c r="I179" s="1">
        <v>58.0</v>
      </c>
      <c r="J179" s="1">
        <v>248.0</v>
      </c>
      <c r="K179" s="1">
        <v>57.0</v>
      </c>
      <c r="L179" s="4">
        <f t="shared" ref="L179:O179" si="179">if($G179=0,H179/$F179,H179/$F179/$G179)</f>
        <v>2038.4</v>
      </c>
      <c r="M179" s="4">
        <f t="shared" si="179"/>
        <v>0.9666666667</v>
      </c>
      <c r="N179" s="4">
        <f t="shared" si="179"/>
        <v>4.133333333</v>
      </c>
      <c r="O179" s="4">
        <f t="shared" si="179"/>
        <v>0.95</v>
      </c>
    </row>
    <row r="180">
      <c r="A180" s="7" t="s">
        <v>326</v>
      </c>
      <c r="B180" s="7" t="s">
        <v>326</v>
      </c>
      <c r="C180" s="1" t="s">
        <v>288</v>
      </c>
      <c r="D180" s="1" t="s">
        <v>155</v>
      </c>
      <c r="E180" s="1">
        <v>75.0</v>
      </c>
      <c r="F180" s="3">
        <f t="shared" si="2"/>
        <v>60</v>
      </c>
      <c r="H180" s="1">
        <v>117753.0</v>
      </c>
      <c r="I180" s="1">
        <v>37.0</v>
      </c>
      <c r="J180" s="1">
        <v>269.0</v>
      </c>
      <c r="K180" s="1">
        <v>66.0</v>
      </c>
      <c r="L180" s="4">
        <f t="shared" ref="L180:O180" si="180">if($G180=0,H180/$F180,H180/$F180/$G180)</f>
        <v>1962.55</v>
      </c>
      <c r="M180" s="4">
        <f t="shared" si="180"/>
        <v>0.6166666667</v>
      </c>
      <c r="N180" s="4">
        <f t="shared" si="180"/>
        <v>4.483333333</v>
      </c>
      <c r="O180" s="4">
        <f t="shared" si="180"/>
        <v>1.1</v>
      </c>
    </row>
    <row r="181">
      <c r="A181" s="7" t="s">
        <v>327</v>
      </c>
      <c r="B181" s="7" t="s">
        <v>327</v>
      </c>
      <c r="C181" s="1" t="s">
        <v>288</v>
      </c>
      <c r="D181" s="1" t="s">
        <v>157</v>
      </c>
      <c r="E181" s="1">
        <v>75.0</v>
      </c>
      <c r="F181" s="3">
        <f t="shared" si="2"/>
        <v>60</v>
      </c>
      <c r="H181" s="1">
        <v>119521.0</v>
      </c>
      <c r="I181" s="1">
        <v>38.0</v>
      </c>
      <c r="J181" s="1">
        <v>267.0</v>
      </c>
      <c r="K181" s="1">
        <v>62.0</v>
      </c>
      <c r="L181" s="4">
        <f t="shared" ref="L181:O181" si="181">if($G181=0,H181/$F181,H181/$F181/$G181)</f>
        <v>1992.016667</v>
      </c>
      <c r="M181" s="4">
        <f t="shared" si="181"/>
        <v>0.6333333333</v>
      </c>
      <c r="N181" s="4">
        <f t="shared" si="181"/>
        <v>4.45</v>
      </c>
      <c r="O181" s="4">
        <f t="shared" si="181"/>
        <v>1.033333333</v>
      </c>
    </row>
    <row r="182">
      <c r="A182" s="7" t="s">
        <v>328</v>
      </c>
      <c r="B182" s="7" t="s">
        <v>328</v>
      </c>
      <c r="C182" s="1" t="s">
        <v>288</v>
      </c>
      <c r="D182" s="1" t="s">
        <v>159</v>
      </c>
      <c r="E182" s="1">
        <v>75.0</v>
      </c>
      <c r="F182" s="3">
        <f t="shared" si="2"/>
        <v>60</v>
      </c>
      <c r="H182" s="1">
        <v>115969.0</v>
      </c>
      <c r="I182" s="1">
        <v>49.0</v>
      </c>
      <c r="J182" s="1">
        <v>256.0</v>
      </c>
      <c r="K182" s="1">
        <v>61.0</v>
      </c>
      <c r="L182" s="4">
        <f t="shared" ref="L182:O182" si="182">if($G182=0,H182/$F182,H182/$F182/$G182)</f>
        <v>1932.816667</v>
      </c>
      <c r="M182" s="4">
        <f t="shared" si="182"/>
        <v>0.8166666667</v>
      </c>
      <c r="N182" s="4">
        <f t="shared" si="182"/>
        <v>4.266666667</v>
      </c>
      <c r="O182" s="4">
        <f t="shared" si="182"/>
        <v>1.016666667</v>
      </c>
    </row>
    <row r="183">
      <c r="A183" s="7" t="str">
        <f t="shared" ref="A183:B183" si="183">CONCATENATE(LEFT(A174,FIND(CHAR(160),SUBSTITUTE(A174,"_",CHAR(160),5)) + 1),LEFT(A175,FIND("_",A175) - 2))</f>
        <v>64_DRP_I_0.01_3_T6</v>
      </c>
      <c r="B183" s="7" t="str">
        <f t="shared" si="183"/>
        <v>64_DRP_I_0.01_3_T6</v>
      </c>
      <c r="C183" s="1" t="s">
        <v>329</v>
      </c>
      <c r="D183" s="1" t="s">
        <v>180</v>
      </c>
      <c r="E183" s="1">
        <v>75.0</v>
      </c>
      <c r="F183" s="3">
        <f t="shared" si="2"/>
        <v>60</v>
      </c>
      <c r="H183" s="1">
        <v>362066.0</v>
      </c>
      <c r="I183" s="1">
        <v>32.0</v>
      </c>
      <c r="J183" s="1">
        <v>295.0</v>
      </c>
      <c r="K183" s="1">
        <v>76.0</v>
      </c>
      <c r="L183" s="4">
        <f t="shared" ref="L183:O183" si="184">if($G183=0,H183/$F183,H183/$F183/$G183)</f>
        <v>6034.433333</v>
      </c>
      <c r="M183" s="4">
        <f t="shared" si="184"/>
        <v>0.5333333333</v>
      </c>
      <c r="N183" s="4">
        <f t="shared" si="184"/>
        <v>4.916666667</v>
      </c>
      <c r="O183" s="4">
        <f t="shared" si="184"/>
        <v>1.266666667</v>
      </c>
    </row>
    <row r="184">
      <c r="A184" s="7" t="str">
        <f t="shared" ref="A184:B184" si="185">CONCATENATE(LEFT(A175,FIND(CHAR(160),SUBSTITUTE(A175,"_",CHAR(160),5)) + 1),LEFT(A175,FIND("_",A175) - 2))</f>
        <v>65_DRP_I_0.05_1_T6</v>
      </c>
      <c r="B184" s="7" t="str">
        <f t="shared" si="185"/>
        <v>65_DRP_I_0.05_1_T6</v>
      </c>
      <c r="C184" s="1" t="s">
        <v>329</v>
      </c>
      <c r="D184" s="1" t="s">
        <v>201</v>
      </c>
      <c r="E184" s="1">
        <v>75.0</v>
      </c>
      <c r="F184" s="3">
        <f t="shared" si="2"/>
        <v>60</v>
      </c>
      <c r="H184" s="1">
        <v>344841.0</v>
      </c>
      <c r="I184" s="1">
        <v>44.0</v>
      </c>
      <c r="J184" s="1">
        <v>288.0</v>
      </c>
      <c r="K184" s="1">
        <v>50.0</v>
      </c>
      <c r="L184" s="4">
        <f t="shared" ref="L184:O184" si="186">if($G184=0,H184/$F184,H184/$F184/$G184)</f>
        <v>5747.35</v>
      </c>
      <c r="M184" s="4">
        <f t="shared" si="186"/>
        <v>0.7333333333</v>
      </c>
      <c r="N184" s="4">
        <f t="shared" si="186"/>
        <v>4.8</v>
      </c>
      <c r="O184" s="4">
        <f t="shared" si="186"/>
        <v>0.8333333333</v>
      </c>
    </row>
    <row r="185">
      <c r="A185" s="7" t="s">
        <v>330</v>
      </c>
      <c r="B185" s="7" t="s">
        <v>330</v>
      </c>
      <c r="C185" s="1" t="s">
        <v>329</v>
      </c>
      <c r="D185" s="1" t="s">
        <v>161</v>
      </c>
      <c r="E185" s="1">
        <v>75.0</v>
      </c>
      <c r="F185" s="3">
        <f t="shared" si="2"/>
        <v>60</v>
      </c>
      <c r="H185" s="1">
        <v>95428.0</v>
      </c>
      <c r="I185" s="1">
        <v>40.0</v>
      </c>
      <c r="J185" s="1">
        <v>273.0</v>
      </c>
      <c r="K185" s="1">
        <v>82.0</v>
      </c>
      <c r="L185" s="4">
        <f t="shared" ref="L185:O185" si="187">if($G185=0,H185/$F185,H185/$F185/$G185)</f>
        <v>1590.466667</v>
      </c>
      <c r="M185" s="4">
        <f t="shared" si="187"/>
        <v>0.6666666667</v>
      </c>
      <c r="N185" s="4">
        <f t="shared" si="187"/>
        <v>4.55</v>
      </c>
      <c r="O185" s="4">
        <f t="shared" si="187"/>
        <v>1.366666667</v>
      </c>
    </row>
    <row r="186">
      <c r="A186" s="7" t="str">
        <f t="shared" ref="A186:B186" si="188">CONCATENATE(LEFT(A177,FIND(CHAR(160),SUBSTITUTE(A177,"_",CHAR(160),5)) + 1),LEFT(A178,FIND("_",A178) - 2))</f>
        <v>67_DRP_I_0.1_1_T6</v>
      </c>
      <c r="B186" s="7" t="str">
        <f t="shared" si="188"/>
        <v>67_DRP_I_0.1_1_T6</v>
      </c>
      <c r="C186" s="1" t="s">
        <v>329</v>
      </c>
      <c r="D186" s="1" t="s">
        <v>182</v>
      </c>
      <c r="E186" s="1">
        <v>75.0</v>
      </c>
      <c r="F186" s="3">
        <f t="shared" si="2"/>
        <v>60</v>
      </c>
      <c r="H186" s="1">
        <v>355106.0</v>
      </c>
      <c r="I186" s="1">
        <v>44.0</v>
      </c>
      <c r="J186" s="1">
        <v>281.0</v>
      </c>
      <c r="K186" s="1">
        <v>76.0</v>
      </c>
      <c r="L186" s="4">
        <f t="shared" ref="L186:O186" si="189">if($G186=0,H186/$F186,H186/$F186/$G186)</f>
        <v>5918.433333</v>
      </c>
      <c r="M186" s="4">
        <f t="shared" si="189"/>
        <v>0.7333333333</v>
      </c>
      <c r="N186" s="4">
        <f t="shared" si="189"/>
        <v>4.683333333</v>
      </c>
      <c r="O186" s="4">
        <f t="shared" si="189"/>
        <v>1.266666667</v>
      </c>
    </row>
    <row r="187">
      <c r="A187" s="7" t="str">
        <f t="shared" ref="A187:B187" si="190">CONCATENATE(LEFT(A178,FIND(CHAR(160),SUBSTITUTE(A178,"_",CHAR(160),5)) + 1),LEFT(A178,FIND("_",A178) - 2))</f>
        <v>68_DRP_I_0.1_2_T6</v>
      </c>
      <c r="B187" s="7" t="str">
        <f t="shared" si="190"/>
        <v>68_DRP_I_0.1_2_T6</v>
      </c>
      <c r="C187" s="1" t="s">
        <v>329</v>
      </c>
      <c r="D187" s="1" t="s">
        <v>203</v>
      </c>
      <c r="E187" s="1">
        <v>75.0</v>
      </c>
      <c r="F187" s="3">
        <f t="shared" si="2"/>
        <v>60</v>
      </c>
      <c r="H187" s="1">
        <v>396780.0</v>
      </c>
      <c r="I187" s="1">
        <v>40.0</v>
      </c>
      <c r="J187" s="1">
        <v>253.0</v>
      </c>
      <c r="K187" s="1">
        <v>66.0</v>
      </c>
      <c r="L187" s="4">
        <f t="shared" ref="L187:O187" si="191">if($G187=0,H187/$F187,H187/$F187/$G187)</f>
        <v>6613</v>
      </c>
      <c r="M187" s="4">
        <f t="shared" si="191"/>
        <v>0.6666666667</v>
      </c>
      <c r="N187" s="4">
        <f t="shared" si="191"/>
        <v>4.216666667</v>
      </c>
      <c r="O187" s="4">
        <f t="shared" si="191"/>
        <v>1.1</v>
      </c>
    </row>
    <row r="188">
      <c r="A188" s="7" t="s">
        <v>331</v>
      </c>
      <c r="B188" s="7" t="s">
        <v>331</v>
      </c>
      <c r="C188" s="1" t="s">
        <v>329</v>
      </c>
      <c r="D188" s="1" t="s">
        <v>163</v>
      </c>
      <c r="E188" s="1">
        <v>75.0</v>
      </c>
      <c r="F188" s="3">
        <f t="shared" si="2"/>
        <v>60</v>
      </c>
      <c r="H188" s="1">
        <v>98087.0</v>
      </c>
      <c r="I188" s="1">
        <v>36.0</v>
      </c>
      <c r="J188" s="1">
        <v>303.0</v>
      </c>
      <c r="K188" s="1">
        <v>85.0</v>
      </c>
      <c r="L188" s="4">
        <f t="shared" ref="L188:O188" si="192">if($G188=0,H188/$F188,H188/$F188/$G188)</f>
        <v>1634.783333</v>
      </c>
      <c r="M188" s="4">
        <f t="shared" si="192"/>
        <v>0.6</v>
      </c>
      <c r="N188" s="4">
        <f t="shared" si="192"/>
        <v>5.05</v>
      </c>
      <c r="O188" s="4">
        <f t="shared" si="192"/>
        <v>1.416666667</v>
      </c>
    </row>
    <row r="189">
      <c r="A189" s="7" t="s">
        <v>332</v>
      </c>
      <c r="B189" s="7" t="s">
        <v>332</v>
      </c>
      <c r="C189" s="1" t="s">
        <v>329</v>
      </c>
      <c r="D189" s="1" t="s">
        <v>165</v>
      </c>
      <c r="E189" s="1">
        <v>75.0</v>
      </c>
      <c r="F189" s="3">
        <f t="shared" si="2"/>
        <v>60</v>
      </c>
      <c r="H189" s="1">
        <v>96593.0</v>
      </c>
      <c r="I189" s="1">
        <v>54.0</v>
      </c>
      <c r="J189" s="1">
        <v>259.0</v>
      </c>
      <c r="K189" s="1">
        <v>64.0</v>
      </c>
      <c r="L189" s="4">
        <f t="shared" ref="L189:O189" si="193">if($G189=0,H189/$F189,H189/$F189/$G189)</f>
        <v>1609.883333</v>
      </c>
      <c r="M189" s="4">
        <f t="shared" si="193"/>
        <v>0.9</v>
      </c>
      <c r="N189" s="4">
        <f t="shared" si="193"/>
        <v>4.316666667</v>
      </c>
      <c r="O189" s="4">
        <f t="shared" si="193"/>
        <v>1.066666667</v>
      </c>
    </row>
    <row r="190">
      <c r="A190" s="7" t="s">
        <v>333</v>
      </c>
      <c r="B190" s="7" t="s">
        <v>333</v>
      </c>
      <c r="C190" s="1" t="s">
        <v>329</v>
      </c>
      <c r="D190" s="1" t="s">
        <v>167</v>
      </c>
      <c r="E190" s="1">
        <v>75.0</v>
      </c>
      <c r="F190" s="3">
        <f t="shared" si="2"/>
        <v>60</v>
      </c>
      <c r="H190" s="1">
        <v>242671.0</v>
      </c>
      <c r="I190" s="1">
        <v>60.0</v>
      </c>
      <c r="J190" s="1">
        <v>299.0</v>
      </c>
      <c r="K190" s="1">
        <v>62.0</v>
      </c>
      <c r="L190" s="4">
        <f t="shared" ref="L190:O190" si="194">if($G190=0,H190/$F190,H190/$F190/$G190)</f>
        <v>4044.516667</v>
      </c>
      <c r="M190" s="4">
        <f t="shared" si="194"/>
        <v>1</v>
      </c>
      <c r="N190" s="4">
        <f t="shared" si="194"/>
        <v>4.983333333</v>
      </c>
      <c r="O190" s="4">
        <f t="shared" si="194"/>
        <v>1.033333333</v>
      </c>
    </row>
    <row r="191">
      <c r="A191" s="7" t="s">
        <v>334</v>
      </c>
      <c r="B191" s="7" t="s">
        <v>334</v>
      </c>
      <c r="C191" s="1" t="s">
        <v>329</v>
      </c>
      <c r="D191" s="1" t="s">
        <v>170</v>
      </c>
      <c r="E191" s="1">
        <v>75.0</v>
      </c>
      <c r="F191" s="3">
        <f t="shared" si="2"/>
        <v>60</v>
      </c>
      <c r="H191" s="1">
        <v>125559.0</v>
      </c>
      <c r="I191" s="1">
        <v>67.0</v>
      </c>
      <c r="J191" s="1">
        <v>289.0</v>
      </c>
      <c r="K191" s="1">
        <v>74.0</v>
      </c>
      <c r="L191" s="4">
        <f t="shared" ref="L191:O191" si="195">if($G191=0,H191/$F191,H191/$F191/$G191)</f>
        <v>2092.65</v>
      </c>
      <c r="M191" s="4">
        <f t="shared" si="195"/>
        <v>1.116666667</v>
      </c>
      <c r="N191" s="4">
        <f t="shared" si="195"/>
        <v>4.816666667</v>
      </c>
      <c r="O191" s="4">
        <f t="shared" si="195"/>
        <v>1.233333333</v>
      </c>
    </row>
    <row r="192">
      <c r="A192" s="7" t="s">
        <v>335</v>
      </c>
      <c r="B192" s="7" t="s">
        <v>335</v>
      </c>
      <c r="C192" s="1" t="s">
        <v>329</v>
      </c>
      <c r="D192" s="1" t="s">
        <v>184</v>
      </c>
      <c r="E192" s="1">
        <v>75.0</v>
      </c>
      <c r="F192" s="3">
        <f t="shared" si="2"/>
        <v>60</v>
      </c>
      <c r="G192" s="1">
        <v>0.2</v>
      </c>
      <c r="H192" s="1">
        <v>171112.0</v>
      </c>
      <c r="I192" s="1">
        <v>7.0</v>
      </c>
      <c r="J192" s="1">
        <v>42.0</v>
      </c>
      <c r="K192" s="1">
        <v>14.0</v>
      </c>
      <c r="L192" s="4">
        <f t="shared" ref="L192:O192" si="196">if($G192=0,H192/$F192,H192/$F192/$G192)</f>
        <v>14259.33333</v>
      </c>
      <c r="M192" s="4">
        <f t="shared" si="196"/>
        <v>0.5833333333</v>
      </c>
      <c r="N192" s="4">
        <f t="shared" si="196"/>
        <v>3.5</v>
      </c>
      <c r="O192" s="4">
        <f t="shared" si="196"/>
        <v>1.166666667</v>
      </c>
    </row>
    <row r="193">
      <c r="A193" s="7" t="s">
        <v>336</v>
      </c>
      <c r="B193" s="7" t="s">
        <v>336</v>
      </c>
      <c r="C193" s="1" t="s">
        <v>329</v>
      </c>
      <c r="D193" s="1" t="s">
        <v>186</v>
      </c>
      <c r="E193" s="1">
        <v>75.0</v>
      </c>
      <c r="F193" s="3">
        <f t="shared" si="2"/>
        <v>60</v>
      </c>
      <c r="G193" s="1">
        <v>0.2</v>
      </c>
      <c r="H193" s="1">
        <v>22417.0</v>
      </c>
      <c r="I193" s="1">
        <v>4.0</v>
      </c>
      <c r="J193" s="1">
        <v>57.0</v>
      </c>
      <c r="K193" s="1">
        <v>10.0</v>
      </c>
      <c r="L193" s="4">
        <f t="shared" ref="L193:O193" si="197">if($G193=0,H193/$F193,H193/$F193/$G193)</f>
        <v>1868.083333</v>
      </c>
      <c r="M193" s="4">
        <f t="shared" si="197"/>
        <v>0.3333333333</v>
      </c>
      <c r="N193" s="4">
        <f t="shared" si="197"/>
        <v>4.75</v>
      </c>
      <c r="O193" s="4">
        <f t="shared" si="197"/>
        <v>0.8333333333</v>
      </c>
    </row>
    <row r="194">
      <c r="A194" s="7" t="s">
        <v>337</v>
      </c>
      <c r="B194" s="7" t="s">
        <v>337</v>
      </c>
      <c r="C194" s="1" t="s">
        <v>329</v>
      </c>
      <c r="D194" s="1" t="s">
        <v>188</v>
      </c>
      <c r="E194" s="1">
        <v>75.0</v>
      </c>
      <c r="F194" s="3">
        <f t="shared" si="2"/>
        <v>60</v>
      </c>
      <c r="G194" s="1">
        <v>0.2</v>
      </c>
      <c r="H194" s="1">
        <v>186104.0</v>
      </c>
      <c r="I194" s="1">
        <v>11.0</v>
      </c>
      <c r="J194" s="1">
        <v>48.0</v>
      </c>
      <c r="K194" s="1">
        <v>14.0</v>
      </c>
      <c r="L194" s="4">
        <f t="shared" ref="L194:O194" si="198">if($G194=0,H194/$F194,H194/$F194/$G194)</f>
        <v>15508.66667</v>
      </c>
      <c r="M194" s="4">
        <f t="shared" si="198"/>
        <v>0.9166666667</v>
      </c>
      <c r="N194" s="4">
        <f t="shared" si="198"/>
        <v>4</v>
      </c>
      <c r="O194" s="4">
        <f t="shared" si="198"/>
        <v>1.166666667</v>
      </c>
    </row>
    <row r="195">
      <c r="A195" s="7" t="str">
        <f t="shared" ref="A195:B195" si="199">CONCATENATE(LEFT(A186,FIND(CHAR(160),SUBSTITUTE(A186,"_",CHAR(160),5)) + 1),LEFT(A186,FIND("_",A186) - 2))</f>
        <v>67_DRP_I_0.1_1_T6</v>
      </c>
      <c r="B195" s="7" t="str">
        <f t="shared" si="199"/>
        <v>67_DRP_I_0.1_1_T6</v>
      </c>
      <c r="C195" s="1" t="s">
        <v>329</v>
      </c>
      <c r="D195" s="1" t="s">
        <v>190</v>
      </c>
      <c r="E195" s="1">
        <v>75.0</v>
      </c>
      <c r="F195" s="3">
        <f t="shared" si="2"/>
        <v>60</v>
      </c>
      <c r="H195" s="1">
        <v>136378.0</v>
      </c>
      <c r="I195" s="1">
        <v>33.0</v>
      </c>
      <c r="J195" s="1">
        <v>288.0</v>
      </c>
      <c r="K195" s="1">
        <v>70.0</v>
      </c>
      <c r="L195" s="4">
        <f t="shared" ref="L195:O195" si="200">if($G195=0,H195/$F195,H195/$F195/$G195)</f>
        <v>2272.966667</v>
      </c>
      <c r="M195" s="4">
        <f t="shared" si="200"/>
        <v>0.55</v>
      </c>
      <c r="N195" s="4">
        <f t="shared" si="200"/>
        <v>4.8</v>
      </c>
      <c r="O195" s="4">
        <f t="shared" si="200"/>
        <v>1.166666667</v>
      </c>
    </row>
    <row r="196">
      <c r="A196" s="7" t="str">
        <f t="shared" ref="A196:B196" si="201">CONCATENATE(LEFT(A187,FIND(CHAR(160),SUBSTITUTE(A187,"_",CHAR(160),5)) + 1),LEFT(A188,FIND("_",A188) - 2))</f>
        <v>68_DRP_I_0.1_2_T3</v>
      </c>
      <c r="B196" s="7" t="str">
        <f t="shared" si="201"/>
        <v>68_DRP_I_0.1_2_T3</v>
      </c>
      <c r="C196" s="1" t="s">
        <v>329</v>
      </c>
      <c r="D196" s="1" t="s">
        <v>172</v>
      </c>
      <c r="E196" s="1">
        <v>75.0</v>
      </c>
      <c r="F196" s="3">
        <f t="shared" si="2"/>
        <v>60</v>
      </c>
      <c r="H196" s="1">
        <v>119575.0</v>
      </c>
      <c r="I196" s="1">
        <v>65.0</v>
      </c>
      <c r="J196" s="1">
        <v>266.0</v>
      </c>
      <c r="K196" s="1">
        <v>78.0</v>
      </c>
      <c r="L196" s="4">
        <f t="shared" ref="L196:O196" si="202">if($G196=0,H196/$F196,H196/$F196/$G196)</f>
        <v>1992.916667</v>
      </c>
      <c r="M196" s="4">
        <f t="shared" si="202"/>
        <v>1.083333333</v>
      </c>
      <c r="N196" s="4">
        <f t="shared" si="202"/>
        <v>4.433333333</v>
      </c>
      <c r="O196" s="4">
        <f t="shared" si="202"/>
        <v>1.3</v>
      </c>
    </row>
    <row r="197">
      <c r="A197" s="7" t="str">
        <f t="shared" ref="A197:B197" si="203">CONCATENATE(LEFT(A188,FIND(CHAR(160),SUBSTITUTE(A188,"_",CHAR(160),5)) + 1),LEFT(A189,FIND("_",A189) - 2))</f>
        <v>38_DRP_C_0_2_T3</v>
      </c>
      <c r="B197" s="7" t="str">
        <f t="shared" si="203"/>
        <v>38_DRP_C_0_2_T3</v>
      </c>
      <c r="C197" s="1" t="s">
        <v>329</v>
      </c>
      <c r="D197" s="1" t="s">
        <v>174</v>
      </c>
      <c r="E197" s="1">
        <v>75.0</v>
      </c>
      <c r="F197" s="3">
        <f t="shared" si="2"/>
        <v>60</v>
      </c>
      <c r="H197" s="1">
        <v>311448.0</v>
      </c>
      <c r="I197" s="1">
        <v>42.0</v>
      </c>
      <c r="J197" s="1">
        <v>281.0</v>
      </c>
      <c r="K197" s="1">
        <v>90.0</v>
      </c>
      <c r="L197" s="4">
        <f t="shared" ref="L197:O197" si="204">if($G197=0,H197/$F197,H197/$F197/$G197)</f>
        <v>5190.8</v>
      </c>
      <c r="M197" s="4">
        <f t="shared" si="204"/>
        <v>0.7</v>
      </c>
      <c r="N197" s="4">
        <f t="shared" si="204"/>
        <v>4.683333333</v>
      </c>
      <c r="O197" s="4">
        <f t="shared" si="204"/>
        <v>1.5</v>
      </c>
    </row>
    <row r="198">
      <c r="A198" s="7" t="str">
        <f t="shared" ref="A198:B198" si="205">CONCATENATE(LEFT(A189,FIND(CHAR(160),SUBSTITUTE(A189,"_",CHAR(160),5)) + 1),LEFT(A189,FIND("_",A189) - 2))</f>
        <v>39_DRP_C_0_3_T3</v>
      </c>
      <c r="B198" s="7" t="str">
        <f t="shared" si="205"/>
        <v>39_DRP_C_0_3_T3</v>
      </c>
      <c r="C198" s="1" t="s">
        <v>329</v>
      </c>
      <c r="D198" s="1" t="s">
        <v>338</v>
      </c>
      <c r="E198" s="1">
        <v>75.0</v>
      </c>
      <c r="F198" s="3">
        <f t="shared" si="2"/>
        <v>60</v>
      </c>
      <c r="H198" s="1">
        <v>131565.0</v>
      </c>
      <c r="I198" s="1">
        <v>47.0</v>
      </c>
      <c r="J198" s="1">
        <v>272.0</v>
      </c>
      <c r="K198" s="1">
        <v>65.0</v>
      </c>
      <c r="L198" s="4">
        <f t="shared" ref="L198:O198" si="206">if($G198=0,H198/$F198,H198/$F198/$G198)</f>
        <v>2192.75</v>
      </c>
      <c r="M198" s="4">
        <f t="shared" si="206"/>
        <v>0.7833333333</v>
      </c>
      <c r="N198" s="4">
        <f t="shared" si="206"/>
        <v>4.533333333</v>
      </c>
      <c r="O198" s="4">
        <f t="shared" si="206"/>
        <v>1.083333333</v>
      </c>
    </row>
    <row r="199">
      <c r="A199" s="7" t="str">
        <f t="shared" ref="A199:B199" si="207">CONCATENATE(LEFT(A190,FIND(CHAR(160),SUBSTITUTE(A190,"_",CHAR(160),5)) + 1),LEFT(A191,FIND("_",A191) - 2))</f>
        <v>40_DRP_B_0.01_1_T4</v>
      </c>
      <c r="B199" s="7" t="str">
        <f t="shared" si="207"/>
        <v>40_DRP_B_0.01_1_T4</v>
      </c>
      <c r="C199" s="1" t="s">
        <v>329</v>
      </c>
      <c r="D199" s="1" t="s">
        <v>176</v>
      </c>
      <c r="E199" s="1">
        <v>75.0</v>
      </c>
      <c r="F199" s="3">
        <f t="shared" si="2"/>
        <v>60</v>
      </c>
      <c r="H199" s="1">
        <v>373035.0</v>
      </c>
      <c r="I199" s="1">
        <v>44.0</v>
      </c>
      <c r="J199" s="1">
        <v>256.0</v>
      </c>
      <c r="K199" s="1">
        <v>58.0</v>
      </c>
      <c r="L199" s="4">
        <f t="shared" ref="L199:O199" si="208">if($G199=0,H199/$F199,H199/$F199/$G199)</f>
        <v>6217.25</v>
      </c>
      <c r="M199" s="4">
        <f t="shared" si="208"/>
        <v>0.7333333333</v>
      </c>
      <c r="N199" s="4">
        <f t="shared" si="208"/>
        <v>4.266666667</v>
      </c>
      <c r="O199" s="4">
        <f t="shared" si="208"/>
        <v>0.9666666667</v>
      </c>
    </row>
    <row r="200">
      <c r="A200" s="7" t="str">
        <f t="shared" ref="A200:B200" si="209">CONCATENATE(LEFT(A191,FIND(CHAR(160),SUBSTITUTE(A191,"_",CHAR(160),5)) + 1),LEFT(A191,FIND("_",A191) - 2))</f>
        <v>41_DRP_B_0.01_2_T4</v>
      </c>
      <c r="B200" s="7" t="str">
        <f t="shared" si="209"/>
        <v>41_DRP_B_0.01_2_T4</v>
      </c>
      <c r="C200" s="1" t="s">
        <v>329</v>
      </c>
      <c r="D200" s="1" t="s">
        <v>339</v>
      </c>
      <c r="E200" s="1">
        <v>75.0</v>
      </c>
      <c r="F200" s="3">
        <f t="shared" si="2"/>
        <v>60</v>
      </c>
      <c r="H200" s="1">
        <v>130332.0</v>
      </c>
      <c r="I200" s="1">
        <v>39.0</v>
      </c>
      <c r="J200" s="1">
        <v>306.0</v>
      </c>
      <c r="K200" s="1">
        <v>57.0</v>
      </c>
      <c r="L200" s="4">
        <f t="shared" ref="L200:O200" si="210">if($G200=0,H200/$F200,H200/$F200/$G200)</f>
        <v>2172.2</v>
      </c>
      <c r="M200" s="4">
        <f t="shared" si="210"/>
        <v>0.65</v>
      </c>
      <c r="N200" s="4">
        <f t="shared" si="210"/>
        <v>5.1</v>
      </c>
      <c r="O200" s="4">
        <f t="shared" si="210"/>
        <v>0.95</v>
      </c>
    </row>
    <row r="201">
      <c r="A201" s="7" t="str">
        <f t="shared" ref="A201:B201" si="211">CONCATENATE(LEFT(A192,FIND(CHAR(160),SUBSTITUTE(A192,"_",CHAR(160),5)) + 1),LEFT(A193,FIND("_",A193) - 2))</f>
        <v>48_DRP_B_0.2_1_T4</v>
      </c>
      <c r="B201" s="7" t="str">
        <f t="shared" si="211"/>
        <v>48_DRP_B_0.2_1_T4</v>
      </c>
      <c r="C201" s="1" t="s">
        <v>329</v>
      </c>
      <c r="D201" s="1" t="s">
        <v>178</v>
      </c>
      <c r="E201" s="1">
        <v>75.0</v>
      </c>
      <c r="F201" s="3">
        <f t="shared" si="2"/>
        <v>60</v>
      </c>
      <c r="H201" s="1">
        <v>534165.0</v>
      </c>
      <c r="I201" s="1">
        <v>33.0</v>
      </c>
      <c r="J201" s="1">
        <v>260.0</v>
      </c>
      <c r="K201" s="1">
        <v>71.0</v>
      </c>
      <c r="L201" s="4">
        <f t="shared" ref="L201:O201" si="212">if($G201=0,H201/$F201,H201/$F201/$G201)</f>
        <v>8902.75</v>
      </c>
      <c r="M201" s="4">
        <f t="shared" si="212"/>
        <v>0.55</v>
      </c>
      <c r="N201" s="4">
        <f t="shared" si="212"/>
        <v>4.333333333</v>
      </c>
      <c r="O201" s="4">
        <f t="shared" si="212"/>
        <v>1.183333333</v>
      </c>
    </row>
    <row r="202">
      <c r="A202" s="7" t="str">
        <f t="shared" ref="A202:B202" si="213">CONCATENATE(LEFT(A193,FIND(CHAR(160),SUBSTITUTE(A193,"_",CHAR(160),5)) + 1),LEFT(A193,FIND("_",A193) - 2))</f>
        <v>49_DRP_B_0.4_1_T4</v>
      </c>
      <c r="B202" s="7" t="str">
        <f t="shared" si="213"/>
        <v>49_DRP_B_0.4_1_T4</v>
      </c>
      <c r="C202" s="1" t="s">
        <v>329</v>
      </c>
      <c r="D202" s="1" t="s">
        <v>340</v>
      </c>
      <c r="E202" s="1">
        <v>75.0</v>
      </c>
      <c r="F202" s="3">
        <f t="shared" si="2"/>
        <v>60</v>
      </c>
      <c r="H202" s="1">
        <v>292214.0</v>
      </c>
      <c r="I202" s="1">
        <v>45.0</v>
      </c>
      <c r="J202" s="1">
        <v>260.0</v>
      </c>
      <c r="K202" s="1">
        <v>69.0</v>
      </c>
      <c r="L202" s="4">
        <f t="shared" ref="L202:O202" si="214">if($G202=0,H202/$F202,H202/$F202/$G202)</f>
        <v>4870.233333</v>
      </c>
      <c r="M202" s="4">
        <f t="shared" si="214"/>
        <v>0.75</v>
      </c>
      <c r="N202" s="4">
        <f t="shared" si="214"/>
        <v>4.333333333</v>
      </c>
      <c r="O202" s="4">
        <f t="shared" si="214"/>
        <v>1.15</v>
      </c>
    </row>
    <row r="203">
      <c r="A203" s="8" t="s">
        <v>341</v>
      </c>
      <c r="B203" s="8" t="s">
        <v>341</v>
      </c>
      <c r="C203" s="1" t="s">
        <v>342</v>
      </c>
      <c r="D203" s="1" t="s">
        <v>17</v>
      </c>
      <c r="E203" s="1">
        <v>75.0</v>
      </c>
      <c r="F203" s="3">
        <f t="shared" si="2"/>
        <v>60</v>
      </c>
      <c r="H203" s="1">
        <v>87269.0</v>
      </c>
      <c r="I203" s="1">
        <v>235.0</v>
      </c>
      <c r="J203" s="1">
        <v>224.0</v>
      </c>
      <c r="K203" s="1">
        <v>99.0</v>
      </c>
      <c r="L203" s="4">
        <f t="shared" ref="L203:O203" si="215">if($G203=0,H203/$F203,H203/$F203/$G203)</f>
        <v>1454.483333</v>
      </c>
      <c r="M203" s="4">
        <f t="shared" si="215"/>
        <v>3.916666667</v>
      </c>
      <c r="N203" s="4">
        <f t="shared" si="215"/>
        <v>3.733333333</v>
      </c>
      <c r="O203" s="4">
        <f t="shared" si="215"/>
        <v>1.65</v>
      </c>
      <c r="P203" s="4"/>
      <c r="Q203" s="4"/>
    </row>
    <row r="204">
      <c r="A204" s="8" t="s">
        <v>343</v>
      </c>
      <c r="B204" s="8" t="s">
        <v>343</v>
      </c>
      <c r="C204" s="1" t="s">
        <v>342</v>
      </c>
      <c r="D204" s="1" t="s">
        <v>39</v>
      </c>
      <c r="E204" s="1">
        <v>75.0</v>
      </c>
      <c r="F204" s="3">
        <f t="shared" si="2"/>
        <v>60</v>
      </c>
      <c r="H204" s="1">
        <v>88855.0</v>
      </c>
      <c r="I204" s="1">
        <v>112.0</v>
      </c>
      <c r="J204" s="1">
        <v>200.0</v>
      </c>
      <c r="K204" s="1">
        <v>80.0</v>
      </c>
      <c r="L204" s="4">
        <f t="shared" ref="L204:O204" si="216">if($G204=0,H204/$F204,H204/$F204/$G204)</f>
        <v>1480.916667</v>
      </c>
      <c r="M204" s="4">
        <f t="shared" si="216"/>
        <v>1.866666667</v>
      </c>
      <c r="N204" s="4">
        <f t="shared" si="216"/>
        <v>3.333333333</v>
      </c>
      <c r="O204" s="4">
        <f t="shared" si="216"/>
        <v>1.333333333</v>
      </c>
    </row>
    <row r="205">
      <c r="A205" s="8" t="s">
        <v>344</v>
      </c>
      <c r="B205" s="8" t="s">
        <v>344</v>
      </c>
      <c r="C205" s="1" t="s">
        <v>342</v>
      </c>
      <c r="D205" s="1" t="s">
        <v>61</v>
      </c>
      <c r="E205" s="1">
        <v>75.0</v>
      </c>
      <c r="F205" s="3">
        <f t="shared" si="2"/>
        <v>60</v>
      </c>
      <c r="H205" s="1">
        <v>89206.0</v>
      </c>
      <c r="I205" s="1">
        <v>104.0</v>
      </c>
      <c r="J205" s="1">
        <v>196.0</v>
      </c>
      <c r="K205" s="1">
        <v>76.0</v>
      </c>
      <c r="L205" s="4">
        <f t="shared" ref="L205:O205" si="217">if($G205=0,H205/$F205,H205/$F205/$G205)</f>
        <v>1486.766667</v>
      </c>
      <c r="M205" s="4">
        <f t="shared" si="217"/>
        <v>1.733333333</v>
      </c>
      <c r="N205" s="4">
        <f t="shared" si="217"/>
        <v>3.266666667</v>
      </c>
      <c r="O205" s="4">
        <f t="shared" si="217"/>
        <v>1.266666667</v>
      </c>
    </row>
    <row r="206">
      <c r="A206" s="8" t="s">
        <v>345</v>
      </c>
      <c r="B206" s="8" t="s">
        <v>345</v>
      </c>
      <c r="C206" s="1" t="s">
        <v>342</v>
      </c>
      <c r="D206" s="1" t="s">
        <v>77</v>
      </c>
      <c r="E206" s="1">
        <v>75.0</v>
      </c>
      <c r="F206" s="3">
        <f t="shared" si="2"/>
        <v>60</v>
      </c>
      <c r="H206" s="1">
        <v>255484.0</v>
      </c>
      <c r="I206" s="1">
        <v>112.0</v>
      </c>
      <c r="J206" s="1">
        <v>232.0</v>
      </c>
      <c r="K206" s="1">
        <v>88.0</v>
      </c>
      <c r="L206" s="4">
        <f t="shared" ref="L206:O206" si="218">if($G206=0,H206/$F206,H206/$F206/$G206)</f>
        <v>4258.066667</v>
      </c>
      <c r="M206" s="4">
        <f t="shared" si="218"/>
        <v>1.866666667</v>
      </c>
      <c r="N206" s="4">
        <f t="shared" si="218"/>
        <v>3.866666667</v>
      </c>
      <c r="O206" s="4">
        <f t="shared" si="218"/>
        <v>1.466666667</v>
      </c>
    </row>
    <row r="207">
      <c r="A207" s="8" t="s">
        <v>346</v>
      </c>
      <c r="B207" s="8" t="s">
        <v>346</v>
      </c>
      <c r="C207" s="1" t="s">
        <v>342</v>
      </c>
      <c r="D207" s="1" t="s">
        <v>79</v>
      </c>
      <c r="E207" s="1">
        <v>75.0</v>
      </c>
      <c r="F207" s="3">
        <f t="shared" si="2"/>
        <v>60</v>
      </c>
      <c r="H207" s="1">
        <v>127429.0</v>
      </c>
      <c r="I207" s="1">
        <v>172.0</v>
      </c>
      <c r="J207" s="1">
        <v>189.0</v>
      </c>
      <c r="K207" s="1">
        <v>71.0</v>
      </c>
      <c r="L207" s="4">
        <f t="shared" ref="L207:O207" si="219">if($G207=0,H207/$F207,H207/$F207/$G207)</f>
        <v>2123.816667</v>
      </c>
      <c r="M207" s="4">
        <f t="shared" si="219"/>
        <v>2.866666667</v>
      </c>
      <c r="N207" s="4">
        <f t="shared" si="219"/>
        <v>3.15</v>
      </c>
      <c r="O207" s="4">
        <f t="shared" si="219"/>
        <v>1.183333333</v>
      </c>
    </row>
    <row r="208">
      <c r="A208" s="8" t="s">
        <v>347</v>
      </c>
      <c r="B208" s="8" t="s">
        <v>347</v>
      </c>
      <c r="C208" s="1" t="s">
        <v>342</v>
      </c>
      <c r="D208" s="1" t="s">
        <v>81</v>
      </c>
      <c r="E208" s="1">
        <v>75.0</v>
      </c>
      <c r="F208" s="3">
        <f t="shared" si="2"/>
        <v>60</v>
      </c>
      <c r="H208" s="1">
        <v>128067.0</v>
      </c>
      <c r="I208" s="1">
        <v>139.0</v>
      </c>
      <c r="J208" s="1">
        <v>229.0</v>
      </c>
      <c r="K208" s="1">
        <v>68.0</v>
      </c>
      <c r="L208" s="4">
        <f t="shared" ref="L208:O208" si="220">if($G208=0,H208/$F208,H208/$F208/$G208)</f>
        <v>2134.45</v>
      </c>
      <c r="M208" s="4">
        <f t="shared" si="220"/>
        <v>2.316666667</v>
      </c>
      <c r="N208" s="4">
        <f t="shared" si="220"/>
        <v>3.816666667</v>
      </c>
      <c r="O208" s="4">
        <f t="shared" si="220"/>
        <v>1.133333333</v>
      </c>
    </row>
    <row r="209">
      <c r="A209" s="8" t="s">
        <v>348</v>
      </c>
      <c r="B209" s="8" t="s">
        <v>348</v>
      </c>
      <c r="C209" s="1" t="s">
        <v>342</v>
      </c>
      <c r="D209" s="1" t="s">
        <v>83</v>
      </c>
      <c r="E209" s="1">
        <v>75.0</v>
      </c>
      <c r="F209" s="3">
        <f t="shared" si="2"/>
        <v>60</v>
      </c>
      <c r="H209" s="1">
        <v>335806.0</v>
      </c>
      <c r="I209" s="1">
        <v>116.0</v>
      </c>
      <c r="J209" s="1">
        <v>251.0</v>
      </c>
      <c r="K209" s="1">
        <v>81.0</v>
      </c>
      <c r="L209" s="4">
        <f t="shared" ref="L209:O209" si="221">if($G209=0,H209/$F209,H209/$F209/$G209)</f>
        <v>5596.766667</v>
      </c>
      <c r="M209" s="4">
        <f t="shared" si="221"/>
        <v>1.933333333</v>
      </c>
      <c r="N209" s="4">
        <f t="shared" si="221"/>
        <v>4.183333333</v>
      </c>
      <c r="O209" s="4">
        <f t="shared" si="221"/>
        <v>1.35</v>
      </c>
    </row>
    <row r="210">
      <c r="A210" s="8" t="s">
        <v>349</v>
      </c>
      <c r="B210" s="8" t="s">
        <v>349</v>
      </c>
      <c r="C210" s="1" t="s">
        <v>342</v>
      </c>
      <c r="D210" s="1" t="s">
        <v>85</v>
      </c>
      <c r="E210" s="1">
        <v>75.0</v>
      </c>
      <c r="F210" s="3">
        <f t="shared" si="2"/>
        <v>60</v>
      </c>
      <c r="H210" s="1">
        <v>380146.0</v>
      </c>
      <c r="I210" s="1">
        <v>107.0</v>
      </c>
      <c r="J210" s="1">
        <v>230.0</v>
      </c>
      <c r="K210" s="1">
        <v>83.0</v>
      </c>
      <c r="L210" s="4">
        <f t="shared" ref="L210:O210" si="222">if($G210=0,H210/$F210,H210/$F210/$G210)</f>
        <v>6335.766667</v>
      </c>
      <c r="M210" s="4">
        <f t="shared" si="222"/>
        <v>1.783333333</v>
      </c>
      <c r="N210" s="4">
        <f t="shared" si="222"/>
        <v>3.833333333</v>
      </c>
      <c r="O210" s="4">
        <f t="shared" si="222"/>
        <v>1.383333333</v>
      </c>
    </row>
    <row r="211">
      <c r="A211" s="8" t="s">
        <v>350</v>
      </c>
      <c r="B211" s="8" t="s">
        <v>350</v>
      </c>
      <c r="C211" s="1" t="s">
        <v>342</v>
      </c>
      <c r="D211" s="1" t="s">
        <v>87</v>
      </c>
      <c r="E211" s="1">
        <v>75.0</v>
      </c>
      <c r="F211" s="3">
        <f t="shared" si="2"/>
        <v>60</v>
      </c>
      <c r="H211" s="1">
        <v>523056.0</v>
      </c>
      <c r="I211" s="1">
        <v>90.0</v>
      </c>
      <c r="J211" s="1">
        <v>262.0</v>
      </c>
      <c r="K211" s="1">
        <v>65.0</v>
      </c>
      <c r="L211" s="4">
        <f t="shared" ref="L211:O211" si="223">if($G211=0,H211/$F211,H211/$F211/$G211)</f>
        <v>8717.6</v>
      </c>
      <c r="M211" s="4">
        <f t="shared" si="223"/>
        <v>1.5</v>
      </c>
      <c r="N211" s="4">
        <f t="shared" si="223"/>
        <v>4.366666667</v>
      </c>
      <c r="O211" s="4">
        <f t="shared" si="223"/>
        <v>1.083333333</v>
      </c>
    </row>
    <row r="212">
      <c r="A212" s="8" t="s">
        <v>351</v>
      </c>
      <c r="B212" s="8" t="s">
        <v>351</v>
      </c>
      <c r="C212" s="1" t="s">
        <v>342</v>
      </c>
      <c r="D212" s="1" t="s">
        <v>19</v>
      </c>
      <c r="E212" s="1">
        <v>75.0</v>
      </c>
      <c r="F212" s="3">
        <f t="shared" si="2"/>
        <v>60</v>
      </c>
      <c r="H212" s="1">
        <v>393135.0</v>
      </c>
      <c r="I212" s="1">
        <v>88.0</v>
      </c>
      <c r="J212" s="1">
        <v>249.0</v>
      </c>
      <c r="K212" s="1">
        <v>69.0</v>
      </c>
      <c r="L212" s="4">
        <f t="shared" ref="L212:O212" si="224">if($G212=0,H212/$F212,H212/$F212/$G212)</f>
        <v>6552.25</v>
      </c>
      <c r="M212" s="4">
        <f t="shared" si="224"/>
        <v>1.466666667</v>
      </c>
      <c r="N212" s="4">
        <f t="shared" si="224"/>
        <v>4.15</v>
      </c>
      <c r="O212" s="4">
        <f t="shared" si="224"/>
        <v>1.15</v>
      </c>
    </row>
    <row r="213">
      <c r="A213" s="8" t="s">
        <v>352</v>
      </c>
      <c r="B213" s="8" t="s">
        <v>352</v>
      </c>
      <c r="C213" s="1" t="s">
        <v>342</v>
      </c>
      <c r="D213" s="1" t="s">
        <v>21</v>
      </c>
      <c r="E213" s="1">
        <v>75.0</v>
      </c>
      <c r="F213" s="3">
        <f t="shared" si="2"/>
        <v>60</v>
      </c>
      <c r="H213" s="1">
        <v>373770.0</v>
      </c>
      <c r="I213" s="1">
        <v>88.0</v>
      </c>
      <c r="J213" s="1">
        <v>238.0</v>
      </c>
      <c r="K213" s="1">
        <v>74.0</v>
      </c>
      <c r="L213" s="4">
        <f t="shared" ref="L213:O213" si="225">if($G213=0,H213/$F213,H213/$F213/$G213)</f>
        <v>6229.5</v>
      </c>
      <c r="M213" s="4">
        <f t="shared" si="225"/>
        <v>1.466666667</v>
      </c>
      <c r="N213" s="4">
        <f t="shared" si="225"/>
        <v>3.966666667</v>
      </c>
      <c r="O213" s="4">
        <f t="shared" si="225"/>
        <v>1.233333333</v>
      </c>
    </row>
    <row r="214">
      <c r="A214" s="5" t="s">
        <v>353</v>
      </c>
      <c r="B214" s="7" t="s">
        <v>354</v>
      </c>
      <c r="C214" s="1" t="s">
        <v>342</v>
      </c>
      <c r="D214" s="1" t="s">
        <v>170</v>
      </c>
      <c r="E214" s="1">
        <v>75.0</v>
      </c>
      <c r="F214" s="3">
        <f t="shared" si="2"/>
        <v>60</v>
      </c>
      <c r="G214" s="1">
        <v>0.2</v>
      </c>
      <c r="H214" s="1">
        <v>152605.0</v>
      </c>
      <c r="I214" s="1">
        <v>178.0</v>
      </c>
      <c r="J214" s="1">
        <v>56.0</v>
      </c>
      <c r="K214" s="1">
        <v>7.0</v>
      </c>
      <c r="L214" s="4">
        <f t="shared" ref="L214:O214" si="226">if($G214=0,H214/$F214,H214/$F214/$G214)</f>
        <v>12717.08333</v>
      </c>
      <c r="M214" s="4">
        <f t="shared" si="226"/>
        <v>14.83333333</v>
      </c>
      <c r="N214" s="4">
        <f t="shared" si="226"/>
        <v>4.666666667</v>
      </c>
      <c r="O214" s="4">
        <f t="shared" si="226"/>
        <v>0.5833333333</v>
      </c>
    </row>
    <row r="215">
      <c r="A215" s="5" t="s">
        <v>355</v>
      </c>
      <c r="B215" s="7" t="s">
        <v>356</v>
      </c>
      <c r="C215" s="1" t="s">
        <v>342</v>
      </c>
      <c r="D215" s="1" t="s">
        <v>172</v>
      </c>
      <c r="E215" s="1">
        <v>75.0</v>
      </c>
      <c r="F215" s="3">
        <f t="shared" si="2"/>
        <v>60</v>
      </c>
      <c r="G215" s="1">
        <v>0.2</v>
      </c>
      <c r="H215" s="1">
        <v>19493.0</v>
      </c>
      <c r="I215" s="1">
        <v>25.0</v>
      </c>
      <c r="J215" s="1">
        <v>46.0</v>
      </c>
      <c r="K215" s="1">
        <v>12.0</v>
      </c>
      <c r="L215" s="4">
        <f t="shared" ref="L215:O215" si="227">if($G215=0,H215/$F215,H215/$F215/$G215)</f>
        <v>1624.416667</v>
      </c>
      <c r="M215" s="4">
        <f t="shared" si="227"/>
        <v>2.083333333</v>
      </c>
      <c r="N215" s="4">
        <f t="shared" si="227"/>
        <v>3.833333333</v>
      </c>
      <c r="O215" s="4">
        <f t="shared" si="227"/>
        <v>1</v>
      </c>
    </row>
    <row r="216">
      <c r="A216" s="5" t="s">
        <v>357</v>
      </c>
      <c r="B216" s="7" t="s">
        <v>358</v>
      </c>
      <c r="C216" s="1" t="s">
        <v>342</v>
      </c>
      <c r="D216" s="1" t="s">
        <v>174</v>
      </c>
      <c r="E216" s="1">
        <v>75.0</v>
      </c>
      <c r="F216" s="3">
        <f t="shared" si="2"/>
        <v>60</v>
      </c>
      <c r="G216" s="1">
        <v>0.2</v>
      </c>
      <c r="H216" s="1">
        <v>183954.0</v>
      </c>
      <c r="I216" s="1">
        <v>59.0</v>
      </c>
      <c r="J216" s="1">
        <v>42.0</v>
      </c>
      <c r="K216" s="1">
        <v>15.0</v>
      </c>
      <c r="L216" s="4">
        <f t="shared" ref="L216:O216" si="228">if($G216=0,H216/$F216,H216/$F216/$G216)</f>
        <v>15329.5</v>
      </c>
      <c r="M216" s="4">
        <f t="shared" si="228"/>
        <v>4.916666667</v>
      </c>
      <c r="N216" s="4">
        <f t="shared" si="228"/>
        <v>3.5</v>
      </c>
      <c r="O216" s="4">
        <f t="shared" si="228"/>
        <v>1.25</v>
      </c>
    </row>
    <row r="217">
      <c r="A217" s="8" t="s">
        <v>359</v>
      </c>
      <c r="B217" s="8" t="s">
        <v>359</v>
      </c>
      <c r="C217" s="1" t="s">
        <v>342</v>
      </c>
      <c r="D217" s="1" t="s">
        <v>29</v>
      </c>
      <c r="E217" s="1">
        <v>75.0</v>
      </c>
      <c r="F217" s="3">
        <f t="shared" si="2"/>
        <v>60</v>
      </c>
      <c r="H217" s="1">
        <v>141252.0</v>
      </c>
      <c r="I217" s="1">
        <v>95.0</v>
      </c>
      <c r="J217" s="1">
        <v>216.0</v>
      </c>
      <c r="K217" s="1">
        <v>68.0</v>
      </c>
      <c r="L217" s="4">
        <f t="shared" ref="L217:O217" si="229">if($G217=0,H217/$F217,H217/$F217/$G217)</f>
        <v>2354.2</v>
      </c>
      <c r="M217" s="4">
        <f t="shared" si="229"/>
        <v>1.583333333</v>
      </c>
      <c r="N217" s="4">
        <f t="shared" si="229"/>
        <v>3.6</v>
      </c>
      <c r="O217" s="4">
        <f t="shared" si="229"/>
        <v>1.133333333</v>
      </c>
    </row>
    <row r="218">
      <c r="A218" s="8" t="s">
        <v>360</v>
      </c>
      <c r="B218" s="8" t="s">
        <v>360</v>
      </c>
      <c r="C218" s="1" t="s">
        <v>342</v>
      </c>
      <c r="D218" s="1" t="s">
        <v>31</v>
      </c>
      <c r="E218" s="1">
        <v>75.0</v>
      </c>
      <c r="F218" s="3">
        <f t="shared" si="2"/>
        <v>60</v>
      </c>
      <c r="H218" s="1">
        <v>135669.0</v>
      </c>
      <c r="I218" s="1">
        <v>93.0</v>
      </c>
      <c r="J218" s="1">
        <v>199.0</v>
      </c>
      <c r="K218" s="1">
        <v>88.0</v>
      </c>
      <c r="L218" s="4">
        <f t="shared" ref="L218:O218" si="230">if($G218=0,H218/$F218,H218/$F218/$G218)</f>
        <v>2261.15</v>
      </c>
      <c r="M218" s="4">
        <f t="shared" si="230"/>
        <v>1.55</v>
      </c>
      <c r="N218" s="4">
        <f t="shared" si="230"/>
        <v>3.316666667</v>
      </c>
      <c r="O218" s="4">
        <f t="shared" si="230"/>
        <v>1.466666667</v>
      </c>
    </row>
    <row r="219">
      <c r="A219" s="7" t="s">
        <v>361</v>
      </c>
      <c r="B219" s="7" t="s">
        <v>361</v>
      </c>
      <c r="C219" s="1" t="s">
        <v>342</v>
      </c>
      <c r="D219" s="1" t="s">
        <v>33</v>
      </c>
      <c r="E219" s="1">
        <v>75.0</v>
      </c>
      <c r="F219" s="3">
        <f t="shared" si="2"/>
        <v>60</v>
      </c>
      <c r="H219" s="1">
        <v>135915.0</v>
      </c>
      <c r="I219" s="1">
        <v>77.0</v>
      </c>
      <c r="J219" s="1">
        <v>246.0</v>
      </c>
      <c r="K219" s="1">
        <v>72.0</v>
      </c>
      <c r="L219" s="4">
        <f t="shared" ref="L219:O219" si="231">if($G219=0,H219/$F219,H219/$F219/$G219)</f>
        <v>2265.25</v>
      </c>
      <c r="M219" s="4">
        <f t="shared" si="231"/>
        <v>1.283333333</v>
      </c>
      <c r="N219" s="4">
        <f t="shared" si="231"/>
        <v>4.1</v>
      </c>
      <c r="O219" s="4">
        <f t="shared" si="231"/>
        <v>1.2</v>
      </c>
    </row>
    <row r="220">
      <c r="A220" s="7" t="s">
        <v>362</v>
      </c>
      <c r="B220" s="7" t="s">
        <v>362</v>
      </c>
      <c r="C220" s="1" t="s">
        <v>342</v>
      </c>
      <c r="D220" s="1" t="s">
        <v>35</v>
      </c>
      <c r="E220" s="1">
        <v>75.0</v>
      </c>
      <c r="F220" s="3">
        <f t="shared" si="2"/>
        <v>60</v>
      </c>
      <c r="H220" s="1">
        <v>311132.0</v>
      </c>
      <c r="I220" s="1">
        <v>76.0</v>
      </c>
      <c r="J220" s="1">
        <v>224.0</v>
      </c>
      <c r="K220" s="1">
        <v>65.0</v>
      </c>
      <c r="L220" s="4">
        <f t="shared" ref="L220:O220" si="232">if($G220=0,H220/$F220,H220/$F220/$G220)</f>
        <v>5185.533333</v>
      </c>
      <c r="M220" s="4">
        <f t="shared" si="232"/>
        <v>1.266666667</v>
      </c>
      <c r="N220" s="4">
        <f t="shared" si="232"/>
        <v>3.733333333</v>
      </c>
      <c r="O220" s="4">
        <f t="shared" si="232"/>
        <v>1.083333333</v>
      </c>
    </row>
    <row r="221">
      <c r="A221" s="7" t="s">
        <v>363</v>
      </c>
      <c r="B221" s="7" t="s">
        <v>363</v>
      </c>
      <c r="C221" s="1" t="s">
        <v>342</v>
      </c>
      <c r="D221" s="1" t="s">
        <v>271</v>
      </c>
      <c r="E221" s="1">
        <v>75.0</v>
      </c>
      <c r="F221" s="3">
        <f t="shared" si="2"/>
        <v>60</v>
      </c>
      <c r="H221" s="1">
        <v>369922.0</v>
      </c>
      <c r="I221" s="1">
        <v>119.0</v>
      </c>
      <c r="J221" s="1">
        <v>261.0</v>
      </c>
      <c r="K221" s="1">
        <v>64.0</v>
      </c>
      <c r="L221" s="4">
        <f t="shared" ref="L221:O221" si="233">if($G221=0,H221/$F221,H221/$F221/$G221)</f>
        <v>6165.366667</v>
      </c>
      <c r="M221" s="4">
        <f t="shared" si="233"/>
        <v>1.983333333</v>
      </c>
      <c r="N221" s="4">
        <f t="shared" si="233"/>
        <v>4.35</v>
      </c>
      <c r="O221" s="4">
        <f t="shared" si="233"/>
        <v>1.066666667</v>
      </c>
    </row>
    <row r="222">
      <c r="A222" s="7" t="s">
        <v>364</v>
      </c>
      <c r="B222" s="7" t="s">
        <v>364</v>
      </c>
      <c r="C222" s="1" t="s">
        <v>342</v>
      </c>
      <c r="D222" s="1" t="s">
        <v>41</v>
      </c>
      <c r="E222" s="1">
        <v>75.0</v>
      </c>
      <c r="F222" s="3">
        <f t="shared" si="2"/>
        <v>60</v>
      </c>
      <c r="H222" s="1">
        <v>413115.0</v>
      </c>
      <c r="I222" s="1">
        <v>103.0</v>
      </c>
      <c r="J222" s="1">
        <v>252.0</v>
      </c>
      <c r="K222" s="1">
        <v>77.0</v>
      </c>
      <c r="L222" s="4">
        <f t="shared" ref="L222:O222" si="234">if($G222=0,H222/$F222,H222/$F222/$G222)</f>
        <v>6885.25</v>
      </c>
      <c r="M222" s="4">
        <f t="shared" si="234"/>
        <v>1.716666667</v>
      </c>
      <c r="N222" s="4">
        <f t="shared" si="234"/>
        <v>4.2</v>
      </c>
      <c r="O222" s="4">
        <f t="shared" si="234"/>
        <v>1.283333333</v>
      </c>
    </row>
    <row r="223">
      <c r="A223" s="7" t="s">
        <v>365</v>
      </c>
      <c r="B223" s="7" t="s">
        <v>365</v>
      </c>
      <c r="C223" s="1" t="s">
        <v>342</v>
      </c>
      <c r="D223" s="1" t="s">
        <v>43</v>
      </c>
      <c r="E223" s="1">
        <v>75.0</v>
      </c>
      <c r="F223" s="3">
        <f t="shared" si="2"/>
        <v>60</v>
      </c>
      <c r="H223" s="1">
        <v>394497.0</v>
      </c>
      <c r="I223" s="1">
        <v>92.0</v>
      </c>
      <c r="J223" s="1">
        <v>236.0</v>
      </c>
      <c r="K223" s="1">
        <v>71.0</v>
      </c>
      <c r="L223" s="4">
        <f t="shared" ref="L223:O223" si="235">if($G223=0,H223/$F223,H223/$F223/$G223)</f>
        <v>6574.95</v>
      </c>
      <c r="M223" s="4">
        <f t="shared" si="235"/>
        <v>1.533333333</v>
      </c>
      <c r="N223" s="4">
        <f t="shared" si="235"/>
        <v>3.933333333</v>
      </c>
      <c r="O223" s="4">
        <f t="shared" si="235"/>
        <v>1.183333333</v>
      </c>
    </row>
    <row r="224">
      <c r="A224" s="7" t="s">
        <v>366</v>
      </c>
      <c r="B224" s="7" t="s">
        <v>366</v>
      </c>
      <c r="C224" s="1" t="s">
        <v>342</v>
      </c>
      <c r="D224" s="1" t="s">
        <v>45</v>
      </c>
      <c r="E224" s="1">
        <v>75.0</v>
      </c>
      <c r="F224" s="3">
        <f t="shared" si="2"/>
        <v>60</v>
      </c>
      <c r="H224" s="1">
        <v>402063.0</v>
      </c>
      <c r="I224" s="1">
        <v>71.0</v>
      </c>
      <c r="J224" s="1">
        <v>231.0</v>
      </c>
      <c r="K224" s="1">
        <v>59.0</v>
      </c>
      <c r="L224" s="4">
        <f t="shared" ref="L224:O224" si="236">if($G224=0,H224/$F224,H224/$F224/$G224)</f>
        <v>6701.05</v>
      </c>
      <c r="M224" s="4">
        <f t="shared" si="236"/>
        <v>1.183333333</v>
      </c>
      <c r="N224" s="4">
        <f t="shared" si="236"/>
        <v>3.85</v>
      </c>
      <c r="O224" s="4">
        <f t="shared" si="236"/>
        <v>0.9833333333</v>
      </c>
    </row>
    <row r="225">
      <c r="A225" s="5" t="s">
        <v>367</v>
      </c>
      <c r="B225" s="7" t="s">
        <v>368</v>
      </c>
      <c r="C225" s="1" t="s">
        <v>342</v>
      </c>
      <c r="D225" s="1" t="s">
        <v>176</v>
      </c>
      <c r="E225" s="1">
        <v>75.0</v>
      </c>
      <c r="F225" s="3">
        <f t="shared" si="2"/>
        <v>60</v>
      </c>
      <c r="G225" s="1">
        <v>0.2</v>
      </c>
      <c r="H225" s="1">
        <v>144475.0</v>
      </c>
      <c r="I225" s="1">
        <v>36.0</v>
      </c>
      <c r="J225" s="1">
        <v>53.0</v>
      </c>
      <c r="K225" s="1">
        <v>5.0</v>
      </c>
      <c r="L225" s="4">
        <f t="shared" ref="L225:O225" si="237">if($G225=0,H225/$F225,H225/$F225/$G225)</f>
        <v>12039.58333</v>
      </c>
      <c r="M225" s="4">
        <f t="shared" si="237"/>
        <v>3</v>
      </c>
      <c r="N225" s="4">
        <f t="shared" si="237"/>
        <v>4.416666667</v>
      </c>
      <c r="O225" s="4">
        <f t="shared" si="237"/>
        <v>0.4166666667</v>
      </c>
    </row>
    <row r="226">
      <c r="A226" s="5" t="s">
        <v>369</v>
      </c>
      <c r="B226" s="7" t="s">
        <v>370</v>
      </c>
      <c r="C226" s="1" t="s">
        <v>342</v>
      </c>
      <c r="D226" s="1" t="s">
        <v>178</v>
      </c>
      <c r="E226" s="1">
        <v>75.0</v>
      </c>
      <c r="F226" s="3">
        <f t="shared" si="2"/>
        <v>60</v>
      </c>
      <c r="G226" s="1">
        <v>0.2</v>
      </c>
      <c r="H226" s="1">
        <v>252937.0</v>
      </c>
      <c r="I226" s="1">
        <v>49.0</v>
      </c>
      <c r="J226" s="1">
        <v>50.0</v>
      </c>
      <c r="K226" s="1">
        <v>12.0</v>
      </c>
      <c r="L226" s="4">
        <f t="shared" ref="L226:O226" si="238">if($G226=0,H226/$F226,H226/$F226/$G226)</f>
        <v>21078.08333</v>
      </c>
      <c r="M226" s="4">
        <f t="shared" si="238"/>
        <v>4.083333333</v>
      </c>
      <c r="N226" s="4">
        <f t="shared" si="238"/>
        <v>4.166666667</v>
      </c>
      <c r="O226" s="4">
        <f t="shared" si="238"/>
        <v>1</v>
      </c>
    </row>
    <row r="227">
      <c r="A227" s="5" t="s">
        <v>371</v>
      </c>
      <c r="B227" s="7" t="s">
        <v>372</v>
      </c>
      <c r="C227" s="1" t="s">
        <v>342</v>
      </c>
      <c r="D227" s="1" t="s">
        <v>180</v>
      </c>
      <c r="E227" s="1">
        <v>75.0</v>
      </c>
      <c r="F227" s="3">
        <f t="shared" si="2"/>
        <v>60</v>
      </c>
      <c r="G227" s="1">
        <v>0.2</v>
      </c>
      <c r="H227" s="1">
        <v>281012.0</v>
      </c>
      <c r="I227" s="1">
        <v>49.0</v>
      </c>
      <c r="J227" s="1">
        <v>55.0</v>
      </c>
      <c r="K227" s="1">
        <v>10.0</v>
      </c>
      <c r="L227" s="4">
        <f t="shared" ref="L227:O227" si="239">if($G227=0,H227/$F227,H227/$F227/$G227)</f>
        <v>23417.66667</v>
      </c>
      <c r="M227" s="4">
        <f t="shared" si="239"/>
        <v>4.083333333</v>
      </c>
      <c r="N227" s="4">
        <f t="shared" si="239"/>
        <v>4.583333333</v>
      </c>
      <c r="O227" s="4">
        <f t="shared" si="239"/>
        <v>0.8333333333</v>
      </c>
    </row>
    <row r="228">
      <c r="A228" s="7" t="s">
        <v>373</v>
      </c>
      <c r="B228" s="7" t="s">
        <v>373</v>
      </c>
      <c r="C228" s="1" t="s">
        <v>342</v>
      </c>
      <c r="D228" s="1" t="s">
        <v>53</v>
      </c>
      <c r="E228" s="1">
        <v>75.0</v>
      </c>
      <c r="F228" s="3">
        <f t="shared" si="2"/>
        <v>60</v>
      </c>
      <c r="H228" s="1">
        <v>132836.0</v>
      </c>
      <c r="I228" s="1">
        <v>89.0</v>
      </c>
      <c r="J228" s="1">
        <v>208.0</v>
      </c>
      <c r="K228" s="1">
        <v>62.0</v>
      </c>
      <c r="L228" s="4">
        <f t="shared" ref="L228:O228" si="240">if($G228=0,H228/$F228,H228/$F228/$G228)</f>
        <v>2213.933333</v>
      </c>
      <c r="M228" s="4">
        <f t="shared" si="240"/>
        <v>1.483333333</v>
      </c>
      <c r="N228" s="4">
        <f t="shared" si="240"/>
        <v>3.466666667</v>
      </c>
      <c r="O228" s="4">
        <f t="shared" si="240"/>
        <v>1.033333333</v>
      </c>
    </row>
    <row r="229">
      <c r="A229" s="7" t="s">
        <v>374</v>
      </c>
      <c r="B229" s="7" t="s">
        <v>374</v>
      </c>
      <c r="C229" s="1" t="s">
        <v>342</v>
      </c>
      <c r="D229" s="1" t="s">
        <v>55</v>
      </c>
      <c r="E229" s="1">
        <v>75.0</v>
      </c>
      <c r="F229" s="3">
        <f t="shared" si="2"/>
        <v>60</v>
      </c>
      <c r="H229" s="1">
        <v>126384.0</v>
      </c>
      <c r="I229" s="1">
        <v>97.0</v>
      </c>
      <c r="J229" s="1">
        <v>249.0</v>
      </c>
      <c r="K229" s="1">
        <v>53.0</v>
      </c>
      <c r="L229" s="4">
        <f t="shared" ref="L229:O229" si="241">if($G229=0,H229/$F229,H229/$F229/$G229)</f>
        <v>2106.4</v>
      </c>
      <c r="M229" s="4">
        <f t="shared" si="241"/>
        <v>1.616666667</v>
      </c>
      <c r="N229" s="4">
        <f t="shared" si="241"/>
        <v>4.15</v>
      </c>
      <c r="O229" s="4">
        <f t="shared" si="241"/>
        <v>0.8833333333</v>
      </c>
    </row>
    <row r="230">
      <c r="A230" s="7" t="s">
        <v>375</v>
      </c>
      <c r="B230" s="7" t="s">
        <v>375</v>
      </c>
      <c r="C230" s="1" t="s">
        <v>342</v>
      </c>
      <c r="D230" s="1" t="s">
        <v>57</v>
      </c>
      <c r="E230" s="1">
        <v>75.0</v>
      </c>
      <c r="F230" s="3">
        <f t="shared" si="2"/>
        <v>60</v>
      </c>
      <c r="H230" s="1">
        <v>130273.0</v>
      </c>
      <c r="I230" s="1">
        <v>97.0</v>
      </c>
      <c r="J230" s="1">
        <v>194.0</v>
      </c>
      <c r="K230" s="1">
        <v>66.0</v>
      </c>
      <c r="L230" s="4">
        <f t="shared" ref="L230:O230" si="242">if($G230=0,H230/$F230,H230/$F230/$G230)</f>
        <v>2171.216667</v>
      </c>
      <c r="M230" s="4">
        <f t="shared" si="242"/>
        <v>1.616666667</v>
      </c>
      <c r="N230" s="4">
        <f t="shared" si="242"/>
        <v>3.233333333</v>
      </c>
      <c r="O230" s="4">
        <f t="shared" si="242"/>
        <v>1.1</v>
      </c>
    </row>
    <row r="231">
      <c r="A231" s="7" t="s">
        <v>376</v>
      </c>
      <c r="B231" s="7" t="s">
        <v>376</v>
      </c>
      <c r="C231" s="1" t="s">
        <v>342</v>
      </c>
      <c r="D231" s="1" t="s">
        <v>59</v>
      </c>
      <c r="E231" s="1">
        <v>75.0</v>
      </c>
      <c r="F231" s="3">
        <f t="shared" si="2"/>
        <v>60</v>
      </c>
      <c r="H231" s="1">
        <v>127831.0</v>
      </c>
      <c r="I231" s="1">
        <v>94.0</v>
      </c>
      <c r="J231" s="1">
        <v>193.0</v>
      </c>
      <c r="K231" s="1">
        <v>57.0</v>
      </c>
      <c r="L231" s="4">
        <f t="shared" ref="L231:O231" si="243">if($G231=0,H231/$F231,H231/$F231/$G231)</f>
        <v>2130.516667</v>
      </c>
      <c r="M231" s="4">
        <f t="shared" si="243"/>
        <v>1.566666667</v>
      </c>
      <c r="N231" s="4">
        <f t="shared" si="243"/>
        <v>3.216666667</v>
      </c>
      <c r="O231" s="4">
        <f t="shared" si="243"/>
        <v>0.95</v>
      </c>
    </row>
    <row r="232">
      <c r="A232" s="7" t="s">
        <v>377</v>
      </c>
      <c r="B232" s="7" t="s">
        <v>377</v>
      </c>
      <c r="C232" s="1" t="s">
        <v>342</v>
      </c>
      <c r="D232" s="1" t="s">
        <v>63</v>
      </c>
      <c r="E232" s="1">
        <v>75.0</v>
      </c>
      <c r="F232" s="3">
        <f t="shared" si="2"/>
        <v>60</v>
      </c>
      <c r="H232" s="1">
        <v>126393.0</v>
      </c>
      <c r="I232" s="1">
        <v>74.0</v>
      </c>
      <c r="J232" s="1">
        <v>229.0</v>
      </c>
      <c r="K232" s="1">
        <v>70.0</v>
      </c>
      <c r="L232" s="4">
        <f t="shared" ref="L232:O232" si="244">if($G232=0,H232/$F232,H232/$F232/$G232)</f>
        <v>2106.55</v>
      </c>
      <c r="M232" s="4">
        <f t="shared" si="244"/>
        <v>1.233333333</v>
      </c>
      <c r="N232" s="4">
        <f t="shared" si="244"/>
        <v>3.816666667</v>
      </c>
      <c r="O232" s="4">
        <f t="shared" si="244"/>
        <v>1.166666667</v>
      </c>
    </row>
    <row r="233">
      <c r="A233" s="7" t="s">
        <v>378</v>
      </c>
      <c r="B233" s="7" t="s">
        <v>378</v>
      </c>
      <c r="C233" s="1" t="s">
        <v>342</v>
      </c>
      <c r="D233" s="1" t="s">
        <v>65</v>
      </c>
      <c r="E233" s="1">
        <v>75.0</v>
      </c>
      <c r="F233" s="3">
        <f t="shared" si="2"/>
        <v>60</v>
      </c>
      <c r="H233" s="1">
        <v>117955.0</v>
      </c>
      <c r="I233" s="1">
        <v>91.0</v>
      </c>
      <c r="J233" s="1">
        <v>210.0</v>
      </c>
      <c r="K233" s="1">
        <v>59.0</v>
      </c>
      <c r="L233" s="4">
        <f t="shared" ref="L233:O233" si="245">if($G233=0,H233/$F233,H233/$F233/$G233)</f>
        <v>1965.916667</v>
      </c>
      <c r="M233" s="4">
        <f t="shared" si="245"/>
        <v>1.516666667</v>
      </c>
      <c r="N233" s="4">
        <f t="shared" si="245"/>
        <v>3.5</v>
      </c>
      <c r="O233" s="4">
        <f t="shared" si="245"/>
        <v>0.9833333333</v>
      </c>
    </row>
    <row r="234">
      <c r="A234" s="7" t="s">
        <v>379</v>
      </c>
      <c r="B234" s="7" t="s">
        <v>379</v>
      </c>
      <c r="C234" s="1" t="s">
        <v>342</v>
      </c>
      <c r="D234" s="1" t="s">
        <v>67</v>
      </c>
      <c r="E234" s="1">
        <v>75.0</v>
      </c>
      <c r="F234" s="3">
        <f t="shared" si="2"/>
        <v>60</v>
      </c>
      <c r="H234" s="1">
        <v>116232.0</v>
      </c>
      <c r="I234" s="1">
        <v>73.0</v>
      </c>
      <c r="J234" s="1">
        <v>215.0</v>
      </c>
      <c r="K234" s="1">
        <v>58.0</v>
      </c>
      <c r="L234" s="4">
        <f t="shared" ref="L234:O234" si="246">if($G234=0,H234/$F234,H234/$F234/$G234)</f>
        <v>1937.2</v>
      </c>
      <c r="M234" s="4">
        <f t="shared" si="246"/>
        <v>1.216666667</v>
      </c>
      <c r="N234" s="4">
        <f t="shared" si="246"/>
        <v>3.583333333</v>
      </c>
      <c r="O234" s="4">
        <f t="shared" si="246"/>
        <v>0.9666666667</v>
      </c>
    </row>
    <row r="235">
      <c r="A235" s="7" t="s">
        <v>380</v>
      </c>
      <c r="B235" s="7" t="s">
        <v>380</v>
      </c>
      <c r="C235" s="1" t="s">
        <v>342</v>
      </c>
      <c r="D235" s="1" t="s">
        <v>69</v>
      </c>
      <c r="E235" s="1">
        <v>75.0</v>
      </c>
      <c r="F235" s="3">
        <f t="shared" si="2"/>
        <v>60</v>
      </c>
      <c r="H235" s="1">
        <v>120562.0</v>
      </c>
      <c r="I235" s="1">
        <v>83.0</v>
      </c>
      <c r="J235" s="1">
        <v>222.0</v>
      </c>
      <c r="K235" s="1">
        <v>75.0</v>
      </c>
      <c r="L235" s="4">
        <f t="shared" ref="L235:O235" si="247">if($G235=0,H235/$F235,H235/$F235/$G235)</f>
        <v>2009.366667</v>
      </c>
      <c r="M235" s="4">
        <f t="shared" si="247"/>
        <v>1.383333333</v>
      </c>
      <c r="N235" s="4">
        <f t="shared" si="247"/>
        <v>3.7</v>
      </c>
      <c r="O235" s="4">
        <f t="shared" si="247"/>
        <v>1.25</v>
      </c>
    </row>
    <row r="236">
      <c r="A236" s="5" t="s">
        <v>381</v>
      </c>
      <c r="B236" s="7" t="s">
        <v>382</v>
      </c>
      <c r="C236" s="1" t="s">
        <v>342</v>
      </c>
      <c r="D236" s="1" t="s">
        <v>186</v>
      </c>
      <c r="E236" s="1">
        <v>75.0</v>
      </c>
      <c r="F236" s="3">
        <f t="shared" si="2"/>
        <v>60</v>
      </c>
      <c r="G236" s="1">
        <v>0.2</v>
      </c>
      <c r="H236" s="1">
        <v>25486.0</v>
      </c>
      <c r="I236" s="1">
        <v>34.0</v>
      </c>
      <c r="J236" s="1">
        <v>59.0</v>
      </c>
      <c r="K236" s="1">
        <v>14.0</v>
      </c>
      <c r="L236" s="4">
        <f t="shared" ref="L236:O236" si="248">if($G236=0,H236/$F236,H236/$F236/$G236)</f>
        <v>2123.833333</v>
      </c>
      <c r="M236" s="4">
        <f t="shared" si="248"/>
        <v>2.833333333</v>
      </c>
      <c r="N236" s="4">
        <f t="shared" si="248"/>
        <v>4.916666667</v>
      </c>
      <c r="O236" s="4">
        <f t="shared" si="248"/>
        <v>1.166666667</v>
      </c>
    </row>
    <row r="237">
      <c r="A237" s="5" t="s">
        <v>383</v>
      </c>
      <c r="B237" s="7" t="s">
        <v>384</v>
      </c>
      <c r="C237" s="1" t="s">
        <v>342</v>
      </c>
      <c r="D237" s="1" t="s">
        <v>188</v>
      </c>
      <c r="E237" s="1">
        <v>75.0</v>
      </c>
      <c r="F237" s="3">
        <f t="shared" si="2"/>
        <v>60</v>
      </c>
      <c r="G237" s="1">
        <v>0.2</v>
      </c>
      <c r="H237" s="1">
        <v>25602.0</v>
      </c>
      <c r="I237" s="1">
        <v>90.0</v>
      </c>
      <c r="J237" s="1">
        <v>82.0</v>
      </c>
      <c r="K237" s="1">
        <v>14.0</v>
      </c>
      <c r="L237" s="4">
        <f t="shared" ref="L237:O237" si="249">if($G237=0,H237/$F237,H237/$F237/$G237)</f>
        <v>2133.5</v>
      </c>
      <c r="M237" s="4">
        <f t="shared" si="249"/>
        <v>7.5</v>
      </c>
      <c r="N237" s="4">
        <f t="shared" si="249"/>
        <v>6.833333333</v>
      </c>
      <c r="O237" s="4">
        <f t="shared" si="249"/>
        <v>1.166666667</v>
      </c>
    </row>
    <row r="238">
      <c r="A238" s="5" t="s">
        <v>385</v>
      </c>
      <c r="B238" s="5" t="s">
        <v>386</v>
      </c>
      <c r="C238" s="1" t="s">
        <v>342</v>
      </c>
      <c r="D238" s="1" t="s">
        <v>387</v>
      </c>
      <c r="E238" s="1">
        <v>75.0</v>
      </c>
      <c r="F238" s="3">
        <f t="shared" si="2"/>
        <v>60</v>
      </c>
      <c r="G238" s="1">
        <v>0.2</v>
      </c>
      <c r="H238" s="1">
        <v>23959.0</v>
      </c>
      <c r="I238" s="1">
        <v>44.0</v>
      </c>
      <c r="J238" s="1">
        <v>63.0</v>
      </c>
      <c r="K238" s="1">
        <v>11.0</v>
      </c>
      <c r="L238" s="4">
        <f t="shared" ref="L238:O238" si="250">if($G238=0,H238/$F238,H238/$F238/$G238)</f>
        <v>1996.583333</v>
      </c>
      <c r="M238" s="4">
        <f t="shared" si="250"/>
        <v>3.666666667</v>
      </c>
      <c r="N238" s="4">
        <f t="shared" si="250"/>
        <v>5.25</v>
      </c>
      <c r="O238" s="4">
        <f t="shared" si="250"/>
        <v>0.9166666667</v>
      </c>
    </row>
    <row r="239">
      <c r="L239" s="4"/>
      <c r="M239" s="4"/>
      <c r="N239" s="4"/>
      <c r="O239" s="4"/>
    </row>
    <row r="240">
      <c r="L240" s="4"/>
      <c r="M240" s="4"/>
      <c r="N240" s="4"/>
      <c r="O240" s="4"/>
    </row>
    <row r="241">
      <c r="L241" s="4"/>
      <c r="M241" s="4"/>
      <c r="N241" s="4"/>
      <c r="O241" s="4"/>
    </row>
    <row r="242">
      <c r="L242" s="4"/>
      <c r="M242" s="4"/>
      <c r="N242" s="4"/>
      <c r="O242" s="4"/>
    </row>
    <row r="243">
      <c r="L243" s="4"/>
      <c r="M243" s="4"/>
      <c r="N243" s="4"/>
      <c r="O243" s="4"/>
    </row>
    <row r="244">
      <c r="L244" s="4"/>
      <c r="M244" s="4"/>
      <c r="N244" s="4"/>
      <c r="O244" s="4"/>
    </row>
    <row r="245">
      <c r="L245" s="4"/>
      <c r="M245" s="4"/>
      <c r="N245" s="4"/>
      <c r="O245" s="4"/>
    </row>
    <row r="246">
      <c r="L246" s="4"/>
      <c r="M246" s="4"/>
      <c r="N246" s="4"/>
      <c r="O246" s="4"/>
    </row>
    <row r="247">
      <c r="L247" s="4"/>
      <c r="M247" s="4"/>
      <c r="N247" s="4"/>
      <c r="O247" s="4"/>
    </row>
    <row r="248">
      <c r="L248" s="4"/>
      <c r="M248" s="4"/>
      <c r="N248" s="4"/>
      <c r="O248" s="4"/>
    </row>
    <row r="249">
      <c r="L249" s="4"/>
      <c r="M249" s="4"/>
      <c r="N249" s="4"/>
      <c r="O249" s="4"/>
    </row>
    <row r="250">
      <c r="L250" s="4"/>
      <c r="M250" s="4"/>
      <c r="N250" s="4"/>
      <c r="O250" s="4"/>
    </row>
    <row r="251">
      <c r="L251" s="4"/>
      <c r="M251" s="4"/>
      <c r="N251" s="4"/>
      <c r="O251" s="4"/>
    </row>
    <row r="252">
      <c r="L252" s="4"/>
      <c r="M252" s="4"/>
      <c r="N252" s="4"/>
      <c r="O252" s="4"/>
    </row>
    <row r="253">
      <c r="L253" s="4"/>
      <c r="M253" s="4"/>
      <c r="N253" s="4"/>
      <c r="O253" s="4"/>
    </row>
    <row r="254">
      <c r="L254" s="4"/>
      <c r="M254" s="4"/>
      <c r="N254" s="4"/>
      <c r="O254" s="4"/>
    </row>
    <row r="255">
      <c r="L255" s="4"/>
      <c r="M255" s="4"/>
      <c r="N255" s="4"/>
      <c r="O255" s="4"/>
    </row>
    <row r="256">
      <c r="L256" s="4"/>
      <c r="M256" s="4"/>
      <c r="N256" s="4"/>
      <c r="O256" s="4"/>
    </row>
    <row r="257">
      <c r="L257" s="4"/>
      <c r="M257" s="4"/>
      <c r="N257" s="4"/>
      <c r="O257" s="4"/>
    </row>
    <row r="258">
      <c r="L258" s="4"/>
      <c r="M258" s="4"/>
      <c r="N258" s="4"/>
      <c r="O258" s="4"/>
    </row>
    <row r="259">
      <c r="L259" s="4"/>
      <c r="M259" s="4"/>
      <c r="N259" s="4"/>
      <c r="O259" s="4"/>
    </row>
    <row r="260">
      <c r="L260" s="4"/>
      <c r="M260" s="4"/>
      <c r="N260" s="4"/>
      <c r="O260" s="4"/>
    </row>
    <row r="261">
      <c r="L261" s="4"/>
      <c r="M261" s="4"/>
      <c r="N261" s="4"/>
      <c r="O261" s="4"/>
    </row>
    <row r="262">
      <c r="L262" s="4"/>
      <c r="M262" s="4"/>
      <c r="N262" s="4"/>
      <c r="O262" s="4"/>
    </row>
    <row r="263">
      <c r="L263" s="4"/>
      <c r="M263" s="4"/>
      <c r="N263" s="4"/>
      <c r="O263" s="4"/>
    </row>
    <row r="264">
      <c r="L264" s="4"/>
      <c r="M264" s="4"/>
      <c r="N264" s="4"/>
      <c r="O264" s="4"/>
    </row>
    <row r="265">
      <c r="L265" s="4"/>
      <c r="M265" s="4"/>
      <c r="N265" s="4"/>
      <c r="O265" s="4"/>
    </row>
    <row r="266">
      <c r="L266" s="4"/>
      <c r="M266" s="4"/>
      <c r="N266" s="4"/>
      <c r="O266" s="4"/>
    </row>
    <row r="267">
      <c r="L267" s="4"/>
      <c r="M267" s="4"/>
      <c r="N267" s="4"/>
      <c r="O267" s="4"/>
    </row>
    <row r="268">
      <c r="L268" s="4"/>
      <c r="M268" s="4"/>
      <c r="N268" s="4"/>
      <c r="O268" s="4"/>
    </row>
    <row r="269">
      <c r="L269" s="4"/>
      <c r="M269" s="4"/>
      <c r="N269" s="4"/>
      <c r="O269" s="4"/>
    </row>
    <row r="270">
      <c r="L270" s="4"/>
      <c r="M270" s="4"/>
      <c r="N270" s="4"/>
      <c r="O270" s="4"/>
    </row>
    <row r="271">
      <c r="L271" s="4"/>
      <c r="M271" s="4"/>
      <c r="N271" s="4"/>
      <c r="O271" s="4"/>
    </row>
    <row r="272">
      <c r="L272" s="4"/>
      <c r="M272" s="4"/>
      <c r="N272" s="4"/>
      <c r="O272" s="4"/>
    </row>
    <row r="273">
      <c r="L273" s="4"/>
      <c r="M273" s="4"/>
      <c r="N273" s="4"/>
      <c r="O273" s="4"/>
    </row>
    <row r="274">
      <c r="L274" s="4"/>
      <c r="M274" s="4"/>
      <c r="N274" s="4"/>
      <c r="O274" s="4"/>
    </row>
    <row r="275">
      <c r="L275" s="4"/>
      <c r="M275" s="4"/>
      <c r="N275" s="4"/>
      <c r="O275" s="4"/>
    </row>
    <row r="276">
      <c r="L276" s="4"/>
      <c r="M276" s="4"/>
      <c r="N276" s="4"/>
      <c r="O276" s="4"/>
    </row>
    <row r="277">
      <c r="L277" s="4"/>
      <c r="M277" s="4"/>
      <c r="N277" s="4"/>
      <c r="O277" s="4"/>
    </row>
    <row r="278">
      <c r="L278" s="4"/>
      <c r="M278" s="4"/>
      <c r="N278" s="4"/>
      <c r="O278" s="4"/>
    </row>
    <row r="279">
      <c r="L279" s="4"/>
      <c r="M279" s="4"/>
      <c r="N279" s="4"/>
      <c r="O279" s="4"/>
    </row>
    <row r="280">
      <c r="L280" s="4"/>
      <c r="M280" s="4"/>
      <c r="N280" s="4"/>
      <c r="O280" s="4"/>
    </row>
    <row r="281">
      <c r="L281" s="4"/>
      <c r="M281" s="4"/>
      <c r="N281" s="4"/>
      <c r="O281" s="4"/>
    </row>
    <row r="282">
      <c r="L282" s="4"/>
      <c r="M282" s="4"/>
      <c r="N282" s="4"/>
      <c r="O282" s="4"/>
    </row>
    <row r="283">
      <c r="L283" s="4"/>
      <c r="M283" s="4"/>
      <c r="N283" s="4"/>
      <c r="O283" s="4"/>
    </row>
    <row r="284">
      <c r="L284" s="4"/>
      <c r="M284" s="4"/>
      <c r="N284" s="4"/>
      <c r="O284" s="4"/>
    </row>
    <row r="285">
      <c r="L285" s="4"/>
      <c r="M285" s="4"/>
      <c r="N285" s="4"/>
      <c r="O285" s="4"/>
    </row>
    <row r="286">
      <c r="L286" s="4"/>
      <c r="M286" s="4"/>
      <c r="N286" s="4"/>
      <c r="O286" s="4"/>
    </row>
    <row r="287">
      <c r="L287" s="4"/>
      <c r="M287" s="4"/>
      <c r="N287" s="4"/>
      <c r="O287" s="4"/>
    </row>
    <row r="288">
      <c r="L288" s="4"/>
      <c r="M288" s="4"/>
      <c r="N288" s="4"/>
      <c r="O288" s="4"/>
    </row>
    <row r="289">
      <c r="L289" s="4"/>
      <c r="M289" s="4"/>
      <c r="N289" s="4"/>
      <c r="O289" s="4"/>
    </row>
    <row r="290">
      <c r="L290" s="4"/>
      <c r="M290" s="4"/>
      <c r="N290" s="4"/>
      <c r="O290" s="4"/>
    </row>
    <row r="291">
      <c r="L291" s="4"/>
      <c r="M291" s="4"/>
      <c r="N291" s="4"/>
      <c r="O291" s="4"/>
    </row>
    <row r="292">
      <c r="L292" s="4"/>
      <c r="M292" s="4"/>
      <c r="N292" s="4"/>
      <c r="O292" s="4"/>
    </row>
    <row r="293">
      <c r="L293" s="4"/>
      <c r="M293" s="4"/>
      <c r="N293" s="4"/>
      <c r="O293" s="4"/>
    </row>
    <row r="294">
      <c r="L294" s="4"/>
      <c r="M294" s="4"/>
      <c r="N294" s="4"/>
      <c r="O294" s="4"/>
    </row>
    <row r="295">
      <c r="L295" s="4"/>
      <c r="M295" s="4"/>
      <c r="N295" s="4"/>
      <c r="O295" s="4"/>
    </row>
    <row r="296">
      <c r="L296" s="4"/>
      <c r="M296" s="4"/>
      <c r="N296" s="4"/>
      <c r="O296" s="4"/>
    </row>
    <row r="297">
      <c r="L297" s="4"/>
      <c r="M297" s="4"/>
      <c r="N297" s="4"/>
      <c r="O297" s="4"/>
    </row>
    <row r="298">
      <c r="L298" s="4"/>
      <c r="M298" s="4"/>
      <c r="N298" s="4"/>
      <c r="O298" s="4"/>
    </row>
    <row r="299">
      <c r="L299" s="4"/>
      <c r="M299" s="4"/>
      <c r="N299" s="4"/>
      <c r="O299" s="4"/>
    </row>
    <row r="300">
      <c r="L300" s="4"/>
      <c r="M300" s="4"/>
      <c r="N300" s="4"/>
      <c r="O300" s="4"/>
    </row>
    <row r="301">
      <c r="L301" s="4"/>
      <c r="M301" s="4"/>
      <c r="N301" s="4"/>
      <c r="O301" s="4"/>
    </row>
    <row r="302">
      <c r="L302" s="4"/>
      <c r="M302" s="4"/>
      <c r="N302" s="4"/>
      <c r="O302" s="4"/>
    </row>
    <row r="303">
      <c r="L303" s="4"/>
      <c r="M303" s="4"/>
      <c r="N303" s="4"/>
      <c r="O303" s="4"/>
    </row>
    <row r="304">
      <c r="L304" s="4"/>
      <c r="M304" s="4"/>
      <c r="N304" s="4"/>
      <c r="O304" s="4"/>
    </row>
    <row r="305">
      <c r="L305" s="4"/>
      <c r="M305" s="4"/>
      <c r="N305" s="4"/>
      <c r="O305" s="4"/>
    </row>
    <row r="306">
      <c r="L306" s="4"/>
      <c r="M306" s="4"/>
      <c r="N306" s="4"/>
      <c r="O306" s="4"/>
    </row>
    <row r="307">
      <c r="L307" s="4"/>
      <c r="M307" s="4"/>
      <c r="N307" s="4"/>
      <c r="O307" s="4"/>
    </row>
    <row r="308">
      <c r="L308" s="4"/>
      <c r="M308" s="4"/>
      <c r="N308" s="4"/>
      <c r="O308" s="4"/>
    </row>
    <row r="309">
      <c r="L309" s="4"/>
      <c r="M309" s="4"/>
      <c r="N309" s="4"/>
      <c r="O309" s="4"/>
    </row>
    <row r="310">
      <c r="L310" s="4"/>
      <c r="M310" s="4"/>
      <c r="N310" s="4"/>
      <c r="O310" s="4"/>
    </row>
    <row r="311">
      <c r="L311" s="4"/>
      <c r="M311" s="4"/>
      <c r="N311" s="4"/>
      <c r="O311" s="4"/>
    </row>
    <row r="312">
      <c r="L312" s="4"/>
      <c r="M312" s="4"/>
      <c r="N312" s="4"/>
      <c r="O312" s="4"/>
    </row>
    <row r="313">
      <c r="L313" s="4"/>
      <c r="M313" s="4"/>
      <c r="N313" s="4"/>
      <c r="O313" s="4"/>
    </row>
    <row r="314">
      <c r="L314" s="4"/>
      <c r="M314" s="4"/>
      <c r="N314" s="4"/>
      <c r="O314" s="4"/>
    </row>
    <row r="315">
      <c r="L315" s="4"/>
      <c r="M315" s="4"/>
      <c r="N315" s="4"/>
      <c r="O315" s="4"/>
    </row>
    <row r="316">
      <c r="L316" s="4"/>
      <c r="M316" s="4"/>
      <c r="N316" s="4"/>
      <c r="O316" s="4"/>
    </row>
    <row r="317">
      <c r="L317" s="4"/>
      <c r="M317" s="4"/>
      <c r="N317" s="4"/>
      <c r="O317" s="4"/>
    </row>
    <row r="318">
      <c r="L318" s="4"/>
      <c r="M318" s="4"/>
      <c r="N318" s="4"/>
      <c r="O318" s="4"/>
    </row>
    <row r="319">
      <c r="L319" s="4"/>
      <c r="M319" s="4"/>
      <c r="N319" s="4"/>
      <c r="O319" s="4"/>
    </row>
    <row r="320">
      <c r="L320" s="4"/>
      <c r="M320" s="4"/>
      <c r="N320" s="4"/>
      <c r="O320" s="4"/>
    </row>
    <row r="321">
      <c r="L321" s="4"/>
      <c r="M321" s="4"/>
      <c r="N321" s="4"/>
      <c r="O321" s="4"/>
    </row>
    <row r="322">
      <c r="L322" s="4"/>
      <c r="M322" s="4"/>
      <c r="N322" s="4"/>
      <c r="O322" s="4"/>
    </row>
    <row r="323">
      <c r="L323" s="4"/>
      <c r="M323" s="4"/>
      <c r="N323" s="4"/>
      <c r="O323" s="4"/>
    </row>
    <row r="324">
      <c r="L324" s="4"/>
      <c r="M324" s="4"/>
      <c r="N324" s="4"/>
      <c r="O324" s="4"/>
    </row>
    <row r="325">
      <c r="L325" s="4"/>
      <c r="M325" s="4"/>
      <c r="N325" s="4"/>
      <c r="O325" s="4"/>
    </row>
    <row r="326">
      <c r="L326" s="4"/>
      <c r="M326" s="4"/>
      <c r="N326" s="4"/>
      <c r="O326" s="4"/>
    </row>
    <row r="327">
      <c r="L327" s="4"/>
      <c r="M327" s="4"/>
      <c r="N327" s="4"/>
      <c r="O327" s="4"/>
    </row>
    <row r="328">
      <c r="L328" s="4"/>
      <c r="M328" s="4"/>
      <c r="N328" s="4"/>
      <c r="O328" s="4"/>
    </row>
    <row r="329">
      <c r="L329" s="4"/>
      <c r="M329" s="4"/>
      <c r="N329" s="4"/>
      <c r="O329" s="4"/>
    </row>
    <row r="330">
      <c r="L330" s="4"/>
      <c r="M330" s="4"/>
      <c r="N330" s="4"/>
      <c r="O330" s="4"/>
    </row>
    <row r="331">
      <c r="L331" s="4"/>
      <c r="M331" s="4"/>
      <c r="N331" s="4"/>
      <c r="O331" s="4"/>
    </row>
    <row r="332">
      <c r="L332" s="4"/>
      <c r="M332" s="4"/>
      <c r="N332" s="4"/>
      <c r="O332" s="4"/>
    </row>
    <row r="333">
      <c r="L333" s="4"/>
      <c r="M333" s="4"/>
      <c r="N333" s="4"/>
      <c r="O333" s="4"/>
    </row>
    <row r="334">
      <c r="L334" s="4"/>
      <c r="M334" s="4"/>
      <c r="N334" s="4"/>
      <c r="O334" s="4"/>
    </row>
    <row r="335">
      <c r="L335" s="4"/>
      <c r="M335" s="4"/>
      <c r="N335" s="4"/>
      <c r="O335" s="4"/>
    </row>
    <row r="336">
      <c r="L336" s="4"/>
      <c r="M336" s="4"/>
      <c r="N336" s="4"/>
      <c r="O336" s="4"/>
    </row>
    <row r="337">
      <c r="L337" s="4"/>
      <c r="M337" s="4"/>
      <c r="N337" s="4"/>
      <c r="O337" s="4"/>
    </row>
    <row r="338">
      <c r="L338" s="4"/>
      <c r="M338" s="4"/>
      <c r="N338" s="4"/>
      <c r="O338" s="4"/>
    </row>
    <row r="339">
      <c r="L339" s="4"/>
      <c r="M339" s="4"/>
      <c r="N339" s="4"/>
      <c r="O339" s="4"/>
    </row>
    <row r="340">
      <c r="L340" s="4"/>
      <c r="M340" s="4"/>
      <c r="N340" s="4"/>
      <c r="O340" s="4"/>
    </row>
    <row r="341">
      <c r="L341" s="4"/>
      <c r="M341" s="4"/>
      <c r="N341" s="4"/>
      <c r="O341" s="4"/>
    </row>
    <row r="342">
      <c r="L342" s="4"/>
      <c r="M342" s="4"/>
      <c r="N342" s="4"/>
      <c r="O342" s="4"/>
    </row>
    <row r="343">
      <c r="L343" s="4"/>
      <c r="M343" s="4"/>
      <c r="N343" s="4"/>
      <c r="O343" s="4"/>
    </row>
    <row r="344">
      <c r="L344" s="4"/>
      <c r="M344" s="4"/>
      <c r="N344" s="4"/>
      <c r="O344" s="4"/>
    </row>
    <row r="345">
      <c r="L345" s="4"/>
      <c r="M345" s="4"/>
      <c r="N345" s="4"/>
      <c r="O345" s="4"/>
    </row>
    <row r="346">
      <c r="L346" s="4"/>
      <c r="M346" s="4"/>
      <c r="N346" s="4"/>
      <c r="O346" s="4"/>
    </row>
    <row r="347">
      <c r="L347" s="4"/>
      <c r="M347" s="4"/>
      <c r="N347" s="4"/>
      <c r="O347" s="4"/>
    </row>
    <row r="348">
      <c r="L348" s="4"/>
      <c r="M348" s="4"/>
      <c r="N348" s="4"/>
      <c r="O348" s="4"/>
    </row>
    <row r="349">
      <c r="L349" s="4"/>
      <c r="M349" s="4"/>
      <c r="N349" s="4"/>
      <c r="O349" s="4"/>
    </row>
    <row r="350">
      <c r="L350" s="4"/>
      <c r="M350" s="4"/>
      <c r="N350" s="4"/>
      <c r="O350" s="4"/>
    </row>
    <row r="351">
      <c r="L351" s="4"/>
      <c r="M351" s="4"/>
      <c r="N351" s="4"/>
      <c r="O351" s="4"/>
    </row>
    <row r="352">
      <c r="L352" s="4"/>
      <c r="M352" s="4"/>
      <c r="N352" s="4"/>
      <c r="O352" s="4"/>
    </row>
    <row r="353">
      <c r="L353" s="4"/>
      <c r="M353" s="4"/>
      <c r="N353" s="4"/>
      <c r="O353" s="4"/>
    </row>
    <row r="354">
      <c r="L354" s="4"/>
      <c r="M354" s="4"/>
      <c r="N354" s="4"/>
      <c r="O354" s="4"/>
    </row>
    <row r="355">
      <c r="L355" s="4"/>
      <c r="M355" s="4"/>
      <c r="N355" s="4"/>
      <c r="O355" s="4"/>
    </row>
    <row r="356">
      <c r="L356" s="4"/>
      <c r="M356" s="4"/>
      <c r="N356" s="4"/>
      <c r="O356" s="4"/>
    </row>
    <row r="357">
      <c r="L357" s="4"/>
      <c r="M357" s="4"/>
      <c r="N357" s="4"/>
      <c r="O357" s="4"/>
    </row>
    <row r="358">
      <c r="L358" s="4"/>
      <c r="M358" s="4"/>
      <c r="N358" s="4"/>
      <c r="O358" s="4"/>
    </row>
    <row r="359">
      <c r="L359" s="4"/>
      <c r="M359" s="4"/>
      <c r="N359" s="4"/>
      <c r="O359" s="4"/>
    </row>
    <row r="360">
      <c r="L360" s="4"/>
      <c r="M360" s="4"/>
      <c r="N360" s="4"/>
      <c r="O360" s="4"/>
    </row>
    <row r="361">
      <c r="L361" s="4"/>
      <c r="M361" s="4"/>
      <c r="N361" s="4"/>
      <c r="O361" s="4"/>
    </row>
    <row r="362">
      <c r="L362" s="4"/>
      <c r="M362" s="4"/>
      <c r="N362" s="4"/>
      <c r="O362" s="4"/>
    </row>
    <row r="363">
      <c r="L363" s="4"/>
      <c r="M363" s="4"/>
      <c r="N363" s="4"/>
      <c r="O363" s="4"/>
    </row>
    <row r="364">
      <c r="L364" s="4"/>
      <c r="M364" s="4"/>
      <c r="N364" s="4"/>
      <c r="O364" s="4"/>
    </row>
    <row r="365">
      <c r="L365" s="4"/>
      <c r="M365" s="4"/>
      <c r="N365" s="4"/>
      <c r="O365" s="4"/>
    </row>
    <row r="366">
      <c r="L366" s="4"/>
      <c r="M366" s="4"/>
      <c r="N366" s="4"/>
      <c r="O366" s="4"/>
    </row>
    <row r="367">
      <c r="L367" s="4"/>
      <c r="M367" s="4"/>
      <c r="N367" s="4"/>
      <c r="O367" s="4"/>
    </row>
    <row r="368">
      <c r="L368" s="4"/>
      <c r="M368" s="4"/>
      <c r="N368" s="4"/>
      <c r="O368" s="4"/>
    </row>
    <row r="369">
      <c r="L369" s="4"/>
      <c r="M369" s="4"/>
      <c r="N369" s="4"/>
      <c r="O369" s="4"/>
    </row>
    <row r="370">
      <c r="L370" s="4"/>
      <c r="M370" s="4"/>
      <c r="N370" s="4"/>
      <c r="O370" s="4"/>
    </row>
    <row r="371">
      <c r="L371" s="4"/>
      <c r="M371" s="4"/>
      <c r="N371" s="4"/>
      <c r="O371" s="4"/>
    </row>
    <row r="372">
      <c r="L372" s="4"/>
      <c r="M372" s="4"/>
      <c r="N372" s="4"/>
      <c r="O372" s="4"/>
    </row>
    <row r="373">
      <c r="L373" s="4"/>
      <c r="M373" s="4"/>
      <c r="N373" s="4"/>
      <c r="O373" s="4"/>
    </row>
    <row r="374">
      <c r="L374" s="4"/>
      <c r="M374" s="4"/>
      <c r="N374" s="4"/>
      <c r="O374" s="4"/>
    </row>
    <row r="375">
      <c r="L375" s="4"/>
      <c r="M375" s="4"/>
      <c r="N375" s="4"/>
      <c r="O375" s="4"/>
    </row>
    <row r="376">
      <c r="L376" s="4"/>
      <c r="M376" s="4"/>
      <c r="N376" s="4"/>
      <c r="O376" s="4"/>
    </row>
    <row r="377">
      <c r="L377" s="4"/>
      <c r="M377" s="4"/>
      <c r="N377" s="4"/>
      <c r="O377" s="4"/>
    </row>
    <row r="378">
      <c r="L378" s="4"/>
      <c r="M378" s="4"/>
      <c r="N378" s="4"/>
      <c r="O378" s="4"/>
    </row>
    <row r="379">
      <c r="L379" s="4"/>
      <c r="M379" s="4"/>
      <c r="N379" s="4"/>
      <c r="O379" s="4"/>
    </row>
    <row r="380">
      <c r="L380" s="4"/>
      <c r="M380" s="4"/>
      <c r="N380" s="4"/>
      <c r="O380" s="4"/>
    </row>
    <row r="381">
      <c r="L381" s="4"/>
      <c r="M381" s="4"/>
      <c r="N381" s="4"/>
      <c r="O381" s="4"/>
    </row>
    <row r="382">
      <c r="L382" s="4"/>
      <c r="M382" s="4"/>
      <c r="N382" s="4"/>
      <c r="O382" s="4"/>
    </row>
    <row r="383">
      <c r="L383" s="4"/>
      <c r="M383" s="4"/>
      <c r="N383" s="4"/>
      <c r="O383" s="4"/>
    </row>
    <row r="384">
      <c r="L384" s="4"/>
      <c r="M384" s="4"/>
      <c r="N384" s="4"/>
      <c r="O384" s="4"/>
    </row>
    <row r="385">
      <c r="L385" s="4"/>
      <c r="M385" s="4"/>
      <c r="N385" s="4"/>
      <c r="O385" s="4"/>
    </row>
    <row r="386">
      <c r="L386" s="4"/>
      <c r="M386" s="4"/>
      <c r="N386" s="4"/>
      <c r="O386" s="4"/>
    </row>
    <row r="387">
      <c r="L387" s="4"/>
      <c r="M387" s="4"/>
      <c r="N387" s="4"/>
      <c r="O387" s="4"/>
    </row>
    <row r="388">
      <c r="L388" s="4"/>
      <c r="M388" s="4"/>
      <c r="N388" s="4"/>
      <c r="O388" s="4"/>
    </row>
    <row r="389">
      <c r="L389" s="4"/>
      <c r="M389" s="4"/>
      <c r="N389" s="4"/>
      <c r="O389" s="4"/>
    </row>
    <row r="390">
      <c r="L390" s="4"/>
      <c r="M390" s="4"/>
      <c r="N390" s="4"/>
      <c r="O390" s="4"/>
    </row>
    <row r="391">
      <c r="L391" s="4"/>
      <c r="M391" s="4"/>
      <c r="N391" s="4"/>
      <c r="O391" s="4"/>
    </row>
    <row r="392">
      <c r="L392" s="4"/>
      <c r="M392" s="4"/>
      <c r="N392" s="4"/>
      <c r="O392" s="4"/>
    </row>
    <row r="393">
      <c r="L393" s="4"/>
      <c r="M393" s="4"/>
      <c r="N393" s="4"/>
      <c r="O393" s="4"/>
    </row>
    <row r="394">
      <c r="L394" s="4"/>
      <c r="M394" s="4"/>
      <c r="N394" s="4"/>
      <c r="O394" s="4"/>
    </row>
    <row r="395">
      <c r="L395" s="4"/>
      <c r="M395" s="4"/>
      <c r="N395" s="4"/>
      <c r="O395" s="4"/>
    </row>
    <row r="396">
      <c r="L396" s="4"/>
      <c r="M396" s="4"/>
      <c r="N396" s="4"/>
      <c r="O396" s="4"/>
    </row>
    <row r="397">
      <c r="L397" s="4"/>
      <c r="M397" s="4"/>
      <c r="N397" s="4"/>
      <c r="O397" s="4"/>
    </row>
    <row r="398">
      <c r="L398" s="4"/>
      <c r="M398" s="4"/>
      <c r="N398" s="4"/>
      <c r="O398" s="4"/>
    </row>
    <row r="399">
      <c r="L399" s="4"/>
      <c r="M399" s="4"/>
      <c r="N399" s="4"/>
      <c r="O399" s="4"/>
    </row>
    <row r="400">
      <c r="L400" s="4"/>
      <c r="M400" s="4"/>
      <c r="N400" s="4"/>
      <c r="O400" s="4"/>
    </row>
    <row r="401">
      <c r="L401" s="4"/>
      <c r="M401" s="4"/>
      <c r="N401" s="4"/>
      <c r="O401" s="4"/>
    </row>
    <row r="402">
      <c r="L402" s="4"/>
      <c r="M402" s="4"/>
      <c r="N402" s="4"/>
      <c r="O402" s="4"/>
    </row>
    <row r="403">
      <c r="L403" s="4"/>
      <c r="M403" s="4"/>
      <c r="N403" s="4"/>
      <c r="O403" s="4"/>
    </row>
    <row r="404">
      <c r="L404" s="4"/>
      <c r="M404" s="4"/>
      <c r="N404" s="4"/>
      <c r="O404" s="4"/>
    </row>
    <row r="405">
      <c r="L405" s="4"/>
      <c r="M405" s="4"/>
      <c r="N405" s="4"/>
      <c r="O405" s="4"/>
    </row>
    <row r="406">
      <c r="L406" s="4"/>
      <c r="M406" s="4"/>
      <c r="N406" s="4"/>
      <c r="O406" s="4"/>
    </row>
    <row r="407">
      <c r="L407" s="4"/>
      <c r="M407" s="4"/>
      <c r="N407" s="4"/>
      <c r="O407" s="4"/>
    </row>
    <row r="408">
      <c r="L408" s="4"/>
      <c r="M408" s="4"/>
      <c r="N408" s="4"/>
      <c r="O408" s="4"/>
    </row>
    <row r="409">
      <c r="L409" s="4"/>
      <c r="M409" s="4"/>
      <c r="N409" s="4"/>
      <c r="O409" s="4"/>
    </row>
    <row r="410">
      <c r="L410" s="4"/>
      <c r="M410" s="4"/>
      <c r="N410" s="4"/>
      <c r="O410" s="4"/>
    </row>
    <row r="411">
      <c r="L411" s="4"/>
      <c r="M411" s="4"/>
      <c r="N411" s="4"/>
      <c r="O411" s="4"/>
    </row>
    <row r="412">
      <c r="L412" s="4"/>
      <c r="M412" s="4"/>
      <c r="N412" s="4"/>
      <c r="O412" s="4"/>
    </row>
    <row r="413">
      <c r="L413" s="4"/>
      <c r="M413" s="4"/>
      <c r="N413" s="4"/>
      <c r="O413" s="4"/>
    </row>
    <row r="414">
      <c r="L414" s="4"/>
      <c r="M414" s="4"/>
      <c r="N414" s="4"/>
      <c r="O414" s="4"/>
    </row>
    <row r="415">
      <c r="L415" s="4"/>
      <c r="M415" s="4"/>
      <c r="N415" s="4"/>
      <c r="O415" s="4"/>
    </row>
    <row r="416">
      <c r="L416" s="4"/>
      <c r="M416" s="4"/>
      <c r="N416" s="4"/>
      <c r="O416" s="4"/>
    </row>
    <row r="417">
      <c r="L417" s="4"/>
      <c r="M417" s="4"/>
      <c r="N417" s="4"/>
      <c r="O417" s="4"/>
    </row>
    <row r="418">
      <c r="L418" s="4"/>
      <c r="M418" s="4"/>
      <c r="N418" s="4"/>
      <c r="O418" s="4"/>
    </row>
    <row r="419">
      <c r="L419" s="4"/>
      <c r="M419" s="4"/>
      <c r="N419" s="4"/>
      <c r="O419" s="4"/>
    </row>
    <row r="420">
      <c r="L420" s="4"/>
      <c r="M420" s="4"/>
      <c r="N420" s="4"/>
      <c r="O420" s="4"/>
    </row>
    <row r="421">
      <c r="L421" s="4"/>
      <c r="M421" s="4"/>
      <c r="N421" s="4"/>
      <c r="O421" s="4"/>
    </row>
    <row r="422">
      <c r="L422" s="4"/>
      <c r="M422" s="4"/>
      <c r="N422" s="4"/>
      <c r="O422" s="4"/>
    </row>
    <row r="423">
      <c r="L423" s="4"/>
      <c r="M423" s="4"/>
      <c r="N423" s="4"/>
      <c r="O423" s="4"/>
    </row>
    <row r="424">
      <c r="L424" s="4"/>
      <c r="M424" s="4"/>
      <c r="N424" s="4"/>
      <c r="O424" s="4"/>
    </row>
    <row r="425">
      <c r="L425" s="4"/>
      <c r="M425" s="4"/>
      <c r="N425" s="4"/>
      <c r="O425" s="4"/>
    </row>
    <row r="426">
      <c r="L426" s="4"/>
      <c r="M426" s="4"/>
      <c r="N426" s="4"/>
      <c r="O426" s="4"/>
    </row>
    <row r="427">
      <c r="L427" s="4"/>
      <c r="M427" s="4"/>
      <c r="N427" s="4"/>
      <c r="O427" s="4"/>
    </row>
    <row r="428">
      <c r="L428" s="4"/>
      <c r="M428" s="4"/>
      <c r="N428" s="4"/>
      <c r="O428" s="4"/>
    </row>
    <row r="429">
      <c r="L429" s="4"/>
      <c r="M429" s="4"/>
      <c r="N429" s="4"/>
      <c r="O429" s="4"/>
    </row>
    <row r="430">
      <c r="L430" s="4"/>
      <c r="M430" s="4"/>
      <c r="N430" s="4"/>
      <c r="O430" s="4"/>
    </row>
    <row r="431">
      <c r="L431" s="4"/>
      <c r="M431" s="4"/>
      <c r="N431" s="4"/>
      <c r="O431" s="4"/>
    </row>
    <row r="432">
      <c r="L432" s="4"/>
      <c r="M432" s="4"/>
      <c r="N432" s="4"/>
      <c r="O432" s="4"/>
    </row>
    <row r="433">
      <c r="L433" s="4"/>
      <c r="M433" s="4"/>
      <c r="N433" s="4"/>
      <c r="O433" s="4"/>
    </row>
    <row r="434">
      <c r="L434" s="4"/>
      <c r="M434" s="4"/>
      <c r="N434" s="4"/>
      <c r="O434" s="4"/>
    </row>
    <row r="435">
      <c r="L435" s="4"/>
      <c r="M435" s="4"/>
      <c r="N435" s="4"/>
      <c r="O435" s="4"/>
    </row>
    <row r="436">
      <c r="L436" s="4"/>
      <c r="M436" s="4"/>
      <c r="N436" s="4"/>
      <c r="O436" s="4"/>
    </row>
    <row r="437">
      <c r="L437" s="4"/>
      <c r="M437" s="4"/>
      <c r="N437" s="4"/>
      <c r="O437" s="4"/>
    </row>
    <row r="438">
      <c r="L438" s="4"/>
      <c r="M438" s="4"/>
      <c r="N438" s="4"/>
      <c r="O438" s="4"/>
    </row>
    <row r="439">
      <c r="L439" s="4"/>
      <c r="M439" s="4"/>
      <c r="N439" s="4"/>
      <c r="O439" s="4"/>
    </row>
    <row r="440">
      <c r="L440" s="4"/>
      <c r="M440" s="4"/>
      <c r="N440" s="4"/>
      <c r="O440" s="4"/>
    </row>
    <row r="441">
      <c r="L441" s="4"/>
      <c r="M441" s="4"/>
      <c r="N441" s="4"/>
      <c r="O441" s="4"/>
    </row>
    <row r="442">
      <c r="L442" s="4"/>
      <c r="M442" s="4"/>
      <c r="N442" s="4"/>
      <c r="O442" s="4"/>
    </row>
    <row r="443">
      <c r="L443" s="4"/>
      <c r="M443" s="4"/>
      <c r="N443" s="4"/>
      <c r="O443" s="4"/>
    </row>
    <row r="444">
      <c r="L444" s="4"/>
      <c r="M444" s="4"/>
      <c r="N444" s="4"/>
      <c r="O444" s="4"/>
    </row>
    <row r="445">
      <c r="L445" s="4"/>
      <c r="M445" s="4"/>
      <c r="N445" s="4"/>
      <c r="O445" s="4"/>
    </row>
    <row r="446">
      <c r="L446" s="4"/>
      <c r="M446" s="4"/>
      <c r="N446" s="4"/>
      <c r="O446" s="4"/>
    </row>
    <row r="447">
      <c r="L447" s="4"/>
      <c r="M447" s="4"/>
      <c r="N447" s="4"/>
      <c r="O447" s="4"/>
    </row>
    <row r="448">
      <c r="L448" s="4"/>
      <c r="M448" s="4"/>
      <c r="N448" s="4"/>
      <c r="O448" s="4"/>
    </row>
    <row r="449">
      <c r="L449" s="4"/>
      <c r="M449" s="4"/>
      <c r="N449" s="4"/>
      <c r="O449" s="4"/>
    </row>
    <row r="450">
      <c r="L450" s="4"/>
      <c r="M450" s="4"/>
      <c r="N450" s="4"/>
      <c r="O450" s="4"/>
    </row>
    <row r="451">
      <c r="L451" s="4"/>
      <c r="M451" s="4"/>
      <c r="N451" s="4"/>
      <c r="O451" s="4"/>
    </row>
    <row r="452">
      <c r="L452" s="4"/>
      <c r="M452" s="4"/>
      <c r="N452" s="4"/>
      <c r="O452" s="4"/>
    </row>
    <row r="453">
      <c r="L453" s="4"/>
      <c r="M453" s="4"/>
      <c r="N453" s="4"/>
      <c r="O453" s="4"/>
    </row>
    <row r="454">
      <c r="L454" s="4"/>
      <c r="M454" s="4"/>
      <c r="N454" s="4"/>
      <c r="O454" s="4"/>
    </row>
    <row r="455">
      <c r="L455" s="4"/>
      <c r="M455" s="4"/>
      <c r="N455" s="4"/>
      <c r="O455" s="4"/>
    </row>
    <row r="456">
      <c r="L456" s="4"/>
      <c r="M456" s="4"/>
      <c r="N456" s="4"/>
      <c r="O456" s="4"/>
    </row>
    <row r="457">
      <c r="L457" s="4"/>
      <c r="M457" s="4"/>
      <c r="N457" s="4"/>
      <c r="O457" s="4"/>
    </row>
    <row r="458">
      <c r="L458" s="4"/>
      <c r="M458" s="4"/>
      <c r="N458" s="4"/>
      <c r="O458" s="4"/>
    </row>
    <row r="459">
      <c r="L459" s="4"/>
      <c r="M459" s="4"/>
      <c r="N459" s="4"/>
      <c r="O459" s="4"/>
    </row>
    <row r="460">
      <c r="L460" s="4"/>
      <c r="M460" s="4"/>
      <c r="N460" s="4"/>
      <c r="O460" s="4"/>
    </row>
    <row r="461">
      <c r="L461" s="4"/>
      <c r="M461" s="4"/>
      <c r="N461" s="4"/>
      <c r="O461" s="4"/>
    </row>
    <row r="462">
      <c r="L462" s="4"/>
      <c r="M462" s="4"/>
      <c r="N462" s="4"/>
      <c r="O462" s="4"/>
    </row>
    <row r="463">
      <c r="L463" s="4"/>
      <c r="M463" s="4"/>
      <c r="N463" s="4"/>
      <c r="O463" s="4"/>
    </row>
    <row r="464">
      <c r="L464" s="4"/>
      <c r="M464" s="4"/>
      <c r="N464" s="4"/>
      <c r="O464" s="4"/>
    </row>
    <row r="465">
      <c r="L465" s="4"/>
      <c r="M465" s="4"/>
      <c r="N465" s="4"/>
      <c r="O465" s="4"/>
    </row>
    <row r="466">
      <c r="L466" s="4"/>
      <c r="M466" s="4"/>
      <c r="N466" s="4"/>
      <c r="O466" s="4"/>
    </row>
    <row r="467">
      <c r="L467" s="4"/>
      <c r="M467" s="4"/>
      <c r="N467" s="4"/>
      <c r="O467" s="4"/>
    </row>
    <row r="468">
      <c r="L468" s="4"/>
      <c r="M468" s="4"/>
      <c r="N468" s="4"/>
      <c r="O468" s="4"/>
    </row>
    <row r="469">
      <c r="L469" s="4"/>
      <c r="M469" s="4"/>
      <c r="N469" s="4"/>
      <c r="O469" s="4"/>
    </row>
    <row r="470">
      <c r="L470" s="4"/>
      <c r="M470" s="4"/>
      <c r="N470" s="4"/>
      <c r="O470" s="4"/>
    </row>
    <row r="471">
      <c r="L471" s="4"/>
      <c r="M471" s="4"/>
      <c r="N471" s="4"/>
      <c r="O471" s="4"/>
    </row>
    <row r="472">
      <c r="L472" s="4"/>
      <c r="M472" s="4"/>
      <c r="N472" s="4"/>
      <c r="O472" s="4"/>
    </row>
    <row r="473">
      <c r="L473" s="4"/>
      <c r="M473" s="4"/>
      <c r="N473" s="4"/>
      <c r="O473" s="4"/>
    </row>
    <row r="474">
      <c r="L474" s="4"/>
      <c r="M474" s="4"/>
      <c r="N474" s="4"/>
      <c r="O474" s="4"/>
    </row>
    <row r="475">
      <c r="L475" s="4"/>
      <c r="M475" s="4"/>
      <c r="N475" s="4"/>
      <c r="O475" s="4"/>
    </row>
    <row r="476">
      <c r="L476" s="4"/>
      <c r="M476" s="4"/>
      <c r="N476" s="4"/>
      <c r="O476" s="4"/>
    </row>
    <row r="477">
      <c r="L477" s="4"/>
      <c r="M477" s="4"/>
      <c r="N477" s="4"/>
      <c r="O477" s="4"/>
    </row>
    <row r="478">
      <c r="L478" s="4"/>
      <c r="M478" s="4"/>
      <c r="N478" s="4"/>
      <c r="O478" s="4"/>
    </row>
    <row r="479">
      <c r="L479" s="4"/>
      <c r="M479" s="4"/>
      <c r="N479" s="4"/>
      <c r="O479" s="4"/>
    </row>
    <row r="480">
      <c r="L480" s="4"/>
      <c r="M480" s="4"/>
      <c r="N480" s="4"/>
      <c r="O480" s="4"/>
    </row>
    <row r="481">
      <c r="L481" s="4"/>
      <c r="M481" s="4"/>
      <c r="N481" s="4"/>
      <c r="O481" s="4"/>
    </row>
    <row r="482">
      <c r="L482" s="4"/>
      <c r="M482" s="4"/>
      <c r="N482" s="4"/>
      <c r="O482" s="4"/>
    </row>
    <row r="483">
      <c r="L483" s="4"/>
      <c r="M483" s="4"/>
      <c r="N483" s="4"/>
      <c r="O483" s="4"/>
    </row>
    <row r="484">
      <c r="L484" s="4"/>
      <c r="M484" s="4"/>
      <c r="N484" s="4"/>
      <c r="O484" s="4"/>
    </row>
    <row r="485">
      <c r="L485" s="4"/>
      <c r="M485" s="4"/>
      <c r="N485" s="4"/>
      <c r="O485" s="4"/>
    </row>
    <row r="486">
      <c r="L486" s="4"/>
      <c r="M486" s="4"/>
      <c r="N486" s="4"/>
      <c r="O486" s="4"/>
    </row>
    <row r="487">
      <c r="L487" s="4"/>
      <c r="M487" s="4"/>
      <c r="N487" s="4"/>
      <c r="O487" s="4"/>
    </row>
    <row r="488">
      <c r="L488" s="4"/>
      <c r="M488" s="4"/>
      <c r="N488" s="4"/>
      <c r="O488" s="4"/>
    </row>
    <row r="489">
      <c r="L489" s="4"/>
      <c r="M489" s="4"/>
      <c r="N489" s="4"/>
      <c r="O489" s="4"/>
    </row>
    <row r="490">
      <c r="L490" s="4"/>
      <c r="M490" s="4"/>
      <c r="N490" s="4"/>
      <c r="O490" s="4"/>
    </row>
    <row r="491">
      <c r="L491" s="4"/>
      <c r="M491" s="4"/>
      <c r="N491" s="4"/>
      <c r="O491" s="4"/>
    </row>
    <row r="492">
      <c r="L492" s="4"/>
      <c r="M492" s="4"/>
      <c r="N492" s="4"/>
      <c r="O492" s="4"/>
    </row>
    <row r="493">
      <c r="L493" s="4"/>
      <c r="M493" s="4"/>
      <c r="N493" s="4"/>
      <c r="O493" s="4"/>
    </row>
    <row r="494">
      <c r="L494" s="4"/>
      <c r="M494" s="4"/>
      <c r="N494" s="4"/>
      <c r="O494" s="4"/>
    </row>
    <row r="495">
      <c r="L495" s="4"/>
      <c r="M495" s="4"/>
      <c r="N495" s="4"/>
      <c r="O495" s="4"/>
    </row>
    <row r="496">
      <c r="L496" s="4"/>
      <c r="M496" s="4"/>
      <c r="N496" s="4"/>
      <c r="O496" s="4"/>
    </row>
    <row r="497">
      <c r="L497" s="4"/>
      <c r="M497" s="4"/>
      <c r="N497" s="4"/>
      <c r="O497" s="4"/>
    </row>
    <row r="498">
      <c r="L498" s="4"/>
      <c r="M498" s="4"/>
      <c r="N498" s="4"/>
      <c r="O498" s="4"/>
    </row>
    <row r="499">
      <c r="L499" s="4"/>
      <c r="M499" s="4"/>
      <c r="N499" s="4"/>
      <c r="O499" s="4"/>
    </row>
    <row r="500">
      <c r="L500" s="4"/>
      <c r="M500" s="4"/>
      <c r="N500" s="4"/>
      <c r="O500" s="4"/>
    </row>
    <row r="501">
      <c r="L501" s="4"/>
      <c r="M501" s="4"/>
      <c r="N501" s="4"/>
      <c r="O501" s="4"/>
    </row>
    <row r="502">
      <c r="L502" s="4"/>
      <c r="M502" s="4"/>
      <c r="N502" s="4"/>
      <c r="O502" s="4"/>
    </row>
    <row r="503">
      <c r="L503" s="4"/>
      <c r="M503" s="4"/>
      <c r="N503" s="4"/>
      <c r="O503" s="4"/>
    </row>
    <row r="504">
      <c r="L504" s="4"/>
      <c r="M504" s="4"/>
      <c r="N504" s="4"/>
      <c r="O504" s="4"/>
    </row>
    <row r="505">
      <c r="L505" s="4"/>
      <c r="M505" s="4"/>
      <c r="N505" s="4"/>
      <c r="O505" s="4"/>
    </row>
    <row r="506">
      <c r="L506" s="4"/>
      <c r="M506" s="4"/>
      <c r="N506" s="4"/>
      <c r="O506" s="4"/>
    </row>
    <row r="507">
      <c r="L507" s="4"/>
      <c r="M507" s="4"/>
      <c r="N507" s="4"/>
      <c r="O507" s="4"/>
    </row>
    <row r="508">
      <c r="L508" s="4"/>
      <c r="M508" s="4"/>
      <c r="N508" s="4"/>
      <c r="O508" s="4"/>
    </row>
    <row r="509">
      <c r="L509" s="4"/>
      <c r="M509" s="4"/>
      <c r="N509" s="4"/>
      <c r="O509" s="4"/>
    </row>
    <row r="510">
      <c r="L510" s="4"/>
      <c r="M510" s="4"/>
      <c r="N510" s="4"/>
      <c r="O510" s="4"/>
    </row>
    <row r="511">
      <c r="L511" s="4"/>
      <c r="M511" s="4"/>
      <c r="N511" s="4"/>
      <c r="O511" s="4"/>
    </row>
    <row r="512">
      <c r="L512" s="4"/>
      <c r="M512" s="4"/>
      <c r="N512" s="4"/>
      <c r="O512" s="4"/>
    </row>
    <row r="513">
      <c r="L513" s="4"/>
      <c r="M513" s="4"/>
      <c r="N513" s="4"/>
      <c r="O513" s="4"/>
    </row>
    <row r="514">
      <c r="L514" s="4"/>
      <c r="M514" s="4"/>
      <c r="N514" s="4"/>
      <c r="O514" s="4"/>
    </row>
    <row r="515">
      <c r="L515" s="4"/>
      <c r="M515" s="4"/>
      <c r="N515" s="4"/>
      <c r="O515" s="4"/>
    </row>
    <row r="516">
      <c r="L516" s="4"/>
      <c r="M516" s="4"/>
      <c r="N516" s="4"/>
      <c r="O516" s="4"/>
    </row>
    <row r="517">
      <c r="L517" s="4"/>
      <c r="M517" s="4"/>
      <c r="N517" s="4"/>
      <c r="O517" s="4"/>
    </row>
    <row r="518">
      <c r="L518" s="4"/>
      <c r="M518" s="4"/>
      <c r="N518" s="4"/>
      <c r="O518" s="4"/>
    </row>
    <row r="519">
      <c r="L519" s="4"/>
      <c r="M519" s="4"/>
      <c r="N519" s="4"/>
      <c r="O519" s="4"/>
    </row>
    <row r="520">
      <c r="L520" s="4"/>
      <c r="M520" s="4"/>
      <c r="N520" s="4"/>
      <c r="O520" s="4"/>
    </row>
    <row r="521">
      <c r="L521" s="4"/>
      <c r="M521" s="4"/>
      <c r="N521" s="4"/>
      <c r="O521" s="4"/>
    </row>
    <row r="522">
      <c r="L522" s="4"/>
      <c r="M522" s="4"/>
      <c r="N522" s="4"/>
      <c r="O522" s="4"/>
    </row>
    <row r="523">
      <c r="L523" s="4"/>
      <c r="M523" s="4"/>
      <c r="N523" s="4"/>
      <c r="O523" s="4"/>
    </row>
    <row r="524">
      <c r="L524" s="4"/>
      <c r="M524" s="4"/>
      <c r="N524" s="4"/>
      <c r="O524" s="4"/>
    </row>
    <row r="525">
      <c r="L525" s="4"/>
      <c r="M525" s="4"/>
      <c r="N525" s="4"/>
      <c r="O525" s="4"/>
    </row>
    <row r="526">
      <c r="L526" s="4"/>
      <c r="M526" s="4"/>
      <c r="N526" s="4"/>
      <c r="O526" s="4"/>
    </row>
    <row r="527">
      <c r="L527" s="4"/>
      <c r="M527" s="4"/>
      <c r="N527" s="4"/>
      <c r="O527" s="4"/>
    </row>
    <row r="528">
      <c r="L528" s="4"/>
      <c r="M528" s="4"/>
      <c r="N528" s="4"/>
      <c r="O528" s="4"/>
    </row>
    <row r="529">
      <c r="L529" s="4"/>
      <c r="M529" s="4"/>
      <c r="N529" s="4"/>
      <c r="O529" s="4"/>
    </row>
    <row r="530">
      <c r="L530" s="4"/>
      <c r="M530" s="4"/>
      <c r="N530" s="4"/>
      <c r="O530" s="4"/>
    </row>
    <row r="531">
      <c r="L531" s="4"/>
      <c r="M531" s="4"/>
      <c r="N531" s="4"/>
      <c r="O531" s="4"/>
    </row>
    <row r="532">
      <c r="L532" s="4"/>
      <c r="M532" s="4"/>
      <c r="N532" s="4"/>
      <c r="O532" s="4"/>
    </row>
    <row r="533">
      <c r="L533" s="4"/>
      <c r="M533" s="4"/>
      <c r="N533" s="4"/>
      <c r="O533" s="4"/>
    </row>
    <row r="534">
      <c r="L534" s="4"/>
      <c r="M534" s="4"/>
      <c r="N534" s="4"/>
      <c r="O534" s="4"/>
    </row>
    <row r="535">
      <c r="L535" s="4"/>
      <c r="M535" s="4"/>
      <c r="N535" s="4"/>
      <c r="O535" s="4"/>
    </row>
    <row r="536">
      <c r="L536" s="4"/>
      <c r="M536" s="4"/>
      <c r="N536" s="4"/>
      <c r="O536" s="4"/>
    </row>
    <row r="537">
      <c r="L537" s="4"/>
      <c r="M537" s="4"/>
      <c r="N537" s="4"/>
      <c r="O537" s="4"/>
    </row>
    <row r="538">
      <c r="L538" s="4"/>
      <c r="M538" s="4"/>
      <c r="N538" s="4"/>
      <c r="O538" s="4"/>
    </row>
    <row r="539">
      <c r="L539" s="4"/>
      <c r="M539" s="4"/>
      <c r="N539" s="4"/>
      <c r="O539" s="4"/>
    </row>
    <row r="540">
      <c r="L540" s="4"/>
      <c r="M540" s="4"/>
      <c r="N540" s="4"/>
      <c r="O540" s="4"/>
    </row>
    <row r="541">
      <c r="L541" s="4"/>
      <c r="M541" s="4"/>
      <c r="N541" s="4"/>
      <c r="O541" s="4"/>
    </row>
    <row r="542">
      <c r="L542" s="4"/>
      <c r="M542" s="4"/>
      <c r="N542" s="4"/>
      <c r="O542" s="4"/>
    </row>
    <row r="543">
      <c r="L543" s="4"/>
      <c r="M543" s="4"/>
      <c r="N543" s="4"/>
      <c r="O543" s="4"/>
    </row>
    <row r="544">
      <c r="L544" s="4"/>
      <c r="M544" s="4"/>
      <c r="N544" s="4"/>
      <c r="O544" s="4"/>
    </row>
    <row r="545">
      <c r="L545" s="4"/>
      <c r="M545" s="4"/>
      <c r="N545" s="4"/>
      <c r="O545" s="4"/>
    </row>
    <row r="546">
      <c r="L546" s="4"/>
      <c r="M546" s="4"/>
      <c r="N546" s="4"/>
      <c r="O546" s="4"/>
    </row>
    <row r="547">
      <c r="L547" s="4"/>
      <c r="M547" s="4"/>
      <c r="N547" s="4"/>
      <c r="O547" s="4"/>
    </row>
    <row r="548">
      <c r="L548" s="4"/>
      <c r="M548" s="4"/>
      <c r="N548" s="4"/>
      <c r="O548" s="4"/>
    </row>
    <row r="549">
      <c r="L549" s="4"/>
      <c r="M549" s="4"/>
      <c r="N549" s="4"/>
      <c r="O549" s="4"/>
    </row>
    <row r="550">
      <c r="L550" s="4"/>
      <c r="M550" s="4"/>
      <c r="N550" s="4"/>
      <c r="O550" s="4"/>
    </row>
    <row r="551">
      <c r="L551" s="4"/>
      <c r="M551" s="4"/>
      <c r="N551" s="4"/>
      <c r="O551" s="4"/>
    </row>
    <row r="552">
      <c r="L552" s="4"/>
      <c r="M552" s="4"/>
      <c r="N552" s="4"/>
      <c r="O552" s="4"/>
    </row>
    <row r="553">
      <c r="L553" s="4"/>
      <c r="M553" s="4"/>
      <c r="N553" s="4"/>
      <c r="O553" s="4"/>
    </row>
    <row r="554">
      <c r="L554" s="4"/>
      <c r="M554" s="4"/>
      <c r="N554" s="4"/>
      <c r="O554" s="4"/>
    </row>
    <row r="555">
      <c r="L555" s="4"/>
      <c r="M555" s="4"/>
      <c r="N555" s="4"/>
      <c r="O555" s="4"/>
    </row>
    <row r="556">
      <c r="L556" s="4"/>
      <c r="M556" s="4"/>
      <c r="N556" s="4"/>
      <c r="O556" s="4"/>
    </row>
    <row r="557">
      <c r="L557" s="4"/>
      <c r="M557" s="4"/>
      <c r="N557" s="4"/>
      <c r="O557" s="4"/>
    </row>
    <row r="558">
      <c r="L558" s="4"/>
      <c r="M558" s="4"/>
      <c r="N558" s="4"/>
      <c r="O558" s="4"/>
    </row>
    <row r="559">
      <c r="L559" s="4"/>
      <c r="M559" s="4"/>
      <c r="N559" s="4"/>
      <c r="O559" s="4"/>
    </row>
    <row r="560">
      <c r="L560" s="4"/>
      <c r="M560" s="4"/>
      <c r="N560" s="4"/>
      <c r="O560" s="4"/>
    </row>
    <row r="561">
      <c r="L561" s="4"/>
      <c r="M561" s="4"/>
      <c r="N561" s="4"/>
      <c r="O561" s="4"/>
    </row>
    <row r="562">
      <c r="L562" s="4"/>
      <c r="M562" s="4"/>
      <c r="N562" s="4"/>
      <c r="O562" s="4"/>
    </row>
    <row r="563">
      <c r="L563" s="4"/>
      <c r="M563" s="4"/>
      <c r="N563" s="4"/>
      <c r="O563" s="4"/>
    </row>
    <row r="564">
      <c r="L564" s="4"/>
      <c r="M564" s="4"/>
      <c r="N564" s="4"/>
      <c r="O564" s="4"/>
    </row>
    <row r="565">
      <c r="L565" s="4"/>
      <c r="M565" s="4"/>
      <c r="N565" s="4"/>
      <c r="O565" s="4"/>
    </row>
    <row r="566">
      <c r="L566" s="4"/>
      <c r="M566" s="4"/>
      <c r="N566" s="4"/>
      <c r="O566" s="4"/>
    </row>
    <row r="567">
      <c r="L567" s="4"/>
      <c r="M567" s="4"/>
      <c r="N567" s="4"/>
      <c r="O567" s="4"/>
    </row>
    <row r="568">
      <c r="L568" s="4"/>
      <c r="M568" s="4"/>
      <c r="N568" s="4"/>
      <c r="O568" s="4"/>
    </row>
    <row r="569">
      <c r="L569" s="4"/>
      <c r="M569" s="4"/>
      <c r="N569" s="4"/>
      <c r="O569" s="4"/>
    </row>
    <row r="570">
      <c r="L570" s="4"/>
      <c r="M570" s="4"/>
      <c r="N570" s="4"/>
      <c r="O570" s="4"/>
    </row>
    <row r="571">
      <c r="L571" s="4"/>
      <c r="M571" s="4"/>
      <c r="N571" s="4"/>
      <c r="O571" s="4"/>
    </row>
    <row r="572">
      <c r="L572" s="4"/>
      <c r="M572" s="4"/>
      <c r="N572" s="4"/>
      <c r="O572" s="4"/>
    </row>
    <row r="573">
      <c r="L573" s="4"/>
      <c r="M573" s="4"/>
      <c r="N573" s="4"/>
      <c r="O573" s="4"/>
    </row>
    <row r="574">
      <c r="L574" s="4"/>
      <c r="M574" s="4"/>
      <c r="N574" s="4"/>
      <c r="O574" s="4"/>
    </row>
    <row r="575">
      <c r="L575" s="4"/>
      <c r="M575" s="4"/>
      <c r="N575" s="4"/>
      <c r="O575" s="4"/>
    </row>
    <row r="576">
      <c r="L576" s="4"/>
      <c r="M576" s="4"/>
      <c r="N576" s="4"/>
      <c r="O576" s="4"/>
    </row>
    <row r="577">
      <c r="L577" s="4"/>
      <c r="M577" s="4"/>
      <c r="N577" s="4"/>
      <c r="O577" s="4"/>
    </row>
    <row r="578">
      <c r="L578" s="4"/>
      <c r="M578" s="4"/>
      <c r="N578" s="4"/>
      <c r="O578" s="4"/>
    </row>
    <row r="579">
      <c r="L579" s="4"/>
      <c r="M579" s="4"/>
      <c r="N579" s="4"/>
      <c r="O579" s="4"/>
    </row>
    <row r="580">
      <c r="L580" s="4"/>
      <c r="M580" s="4"/>
      <c r="N580" s="4"/>
      <c r="O580" s="4"/>
    </row>
    <row r="581">
      <c r="L581" s="4"/>
      <c r="M581" s="4"/>
      <c r="N581" s="4"/>
      <c r="O581" s="4"/>
    </row>
    <row r="582">
      <c r="L582" s="4"/>
      <c r="M582" s="4"/>
      <c r="N582" s="4"/>
      <c r="O582" s="4"/>
    </row>
    <row r="583">
      <c r="L583" s="4"/>
      <c r="M583" s="4"/>
      <c r="N583" s="4"/>
      <c r="O583" s="4"/>
    </row>
    <row r="584">
      <c r="L584" s="4"/>
      <c r="M584" s="4"/>
      <c r="N584" s="4"/>
      <c r="O584" s="4"/>
    </row>
    <row r="585">
      <c r="L585" s="4"/>
      <c r="M585" s="4"/>
      <c r="N585" s="4"/>
      <c r="O585" s="4"/>
    </row>
    <row r="586">
      <c r="L586" s="4"/>
      <c r="M586" s="4"/>
      <c r="N586" s="4"/>
      <c r="O586" s="4"/>
    </row>
    <row r="587">
      <c r="L587" s="4"/>
      <c r="M587" s="4"/>
      <c r="N587" s="4"/>
      <c r="O587" s="4"/>
    </row>
    <row r="588">
      <c r="L588" s="4"/>
      <c r="M588" s="4"/>
      <c r="N588" s="4"/>
      <c r="O588" s="4"/>
    </row>
    <row r="589">
      <c r="L589" s="4"/>
      <c r="M589" s="4"/>
      <c r="N589" s="4"/>
      <c r="O589" s="4"/>
    </row>
    <row r="590">
      <c r="L590" s="4"/>
      <c r="M590" s="4"/>
      <c r="N590" s="4"/>
      <c r="O590" s="4"/>
    </row>
    <row r="591">
      <c r="L591" s="4"/>
      <c r="M591" s="4"/>
      <c r="N591" s="4"/>
      <c r="O591" s="4"/>
    </row>
    <row r="592">
      <c r="L592" s="4"/>
      <c r="M592" s="4"/>
      <c r="N592" s="4"/>
      <c r="O592" s="4"/>
    </row>
    <row r="593">
      <c r="L593" s="4"/>
      <c r="M593" s="4"/>
      <c r="N593" s="4"/>
      <c r="O593" s="4"/>
    </row>
    <row r="594">
      <c r="L594" s="4"/>
      <c r="M594" s="4"/>
      <c r="N594" s="4"/>
      <c r="O594" s="4"/>
    </row>
    <row r="595">
      <c r="L595" s="4"/>
      <c r="M595" s="4"/>
      <c r="N595" s="4"/>
      <c r="O595" s="4"/>
    </row>
    <row r="596">
      <c r="L596" s="4"/>
      <c r="M596" s="4"/>
      <c r="N596" s="4"/>
      <c r="O596" s="4"/>
    </row>
    <row r="597">
      <c r="L597" s="4"/>
      <c r="M597" s="4"/>
      <c r="N597" s="4"/>
      <c r="O597" s="4"/>
    </row>
    <row r="598">
      <c r="L598" s="4"/>
      <c r="M598" s="4"/>
      <c r="N598" s="4"/>
      <c r="O598" s="4"/>
    </row>
    <row r="599">
      <c r="L599" s="4"/>
      <c r="M599" s="4"/>
      <c r="N599" s="4"/>
      <c r="O599" s="4"/>
    </row>
    <row r="600">
      <c r="L600" s="4"/>
      <c r="M600" s="4"/>
      <c r="N600" s="4"/>
      <c r="O600" s="4"/>
    </row>
    <row r="601">
      <c r="L601" s="4"/>
      <c r="M601" s="4"/>
      <c r="N601" s="4"/>
      <c r="O601" s="4"/>
    </row>
    <row r="602">
      <c r="L602" s="4"/>
      <c r="M602" s="4"/>
      <c r="N602" s="4"/>
      <c r="O602" s="4"/>
    </row>
    <row r="603">
      <c r="L603" s="4"/>
      <c r="M603" s="4"/>
      <c r="N603" s="4"/>
      <c r="O603" s="4"/>
    </row>
    <row r="604">
      <c r="L604" s="4"/>
      <c r="M604" s="4"/>
      <c r="N604" s="4"/>
      <c r="O604" s="4"/>
    </row>
    <row r="605">
      <c r="L605" s="4"/>
      <c r="M605" s="4"/>
      <c r="N605" s="4"/>
      <c r="O605" s="4"/>
    </row>
    <row r="606">
      <c r="L606" s="4"/>
      <c r="M606" s="4"/>
      <c r="N606" s="4"/>
      <c r="O606" s="4"/>
    </row>
    <row r="607">
      <c r="L607" s="4"/>
      <c r="M607" s="4"/>
      <c r="N607" s="4"/>
      <c r="O607" s="4"/>
    </row>
    <row r="608">
      <c r="L608" s="4"/>
      <c r="M608" s="4"/>
      <c r="N608" s="4"/>
      <c r="O608" s="4"/>
    </row>
    <row r="609">
      <c r="L609" s="4"/>
      <c r="M609" s="4"/>
      <c r="N609" s="4"/>
      <c r="O609" s="4"/>
    </row>
    <row r="610">
      <c r="L610" s="4"/>
      <c r="M610" s="4"/>
      <c r="N610" s="4"/>
      <c r="O610" s="4"/>
    </row>
    <row r="611">
      <c r="L611" s="4"/>
      <c r="M611" s="4"/>
      <c r="N611" s="4"/>
      <c r="O611" s="4"/>
    </row>
    <row r="612">
      <c r="L612" s="4"/>
      <c r="M612" s="4"/>
      <c r="N612" s="4"/>
      <c r="O612" s="4"/>
    </row>
    <row r="613">
      <c r="L613" s="4"/>
      <c r="M613" s="4"/>
      <c r="N613" s="4"/>
      <c r="O613" s="4"/>
    </row>
    <row r="614">
      <c r="L614" s="4"/>
      <c r="M614" s="4"/>
      <c r="N614" s="4"/>
      <c r="O614" s="4"/>
    </row>
    <row r="615">
      <c r="L615" s="4"/>
      <c r="M615" s="4"/>
      <c r="N615" s="4"/>
      <c r="O615" s="4"/>
    </row>
    <row r="616">
      <c r="L616" s="4"/>
      <c r="M616" s="4"/>
      <c r="N616" s="4"/>
      <c r="O616" s="4"/>
    </row>
    <row r="617">
      <c r="L617" s="4"/>
      <c r="M617" s="4"/>
      <c r="N617" s="4"/>
      <c r="O617" s="4"/>
    </row>
    <row r="618">
      <c r="L618" s="4"/>
      <c r="M618" s="4"/>
      <c r="N618" s="4"/>
      <c r="O618" s="4"/>
    </row>
    <row r="619">
      <c r="L619" s="4"/>
      <c r="M619" s="4"/>
      <c r="N619" s="4"/>
      <c r="O619" s="4"/>
    </row>
    <row r="620">
      <c r="L620" s="4"/>
      <c r="M620" s="4"/>
      <c r="N620" s="4"/>
      <c r="O620" s="4"/>
    </row>
    <row r="621">
      <c r="L621" s="4"/>
      <c r="M621" s="4"/>
      <c r="N621" s="4"/>
      <c r="O621" s="4"/>
    </row>
    <row r="622">
      <c r="L622" s="4"/>
      <c r="M622" s="4"/>
      <c r="N622" s="4"/>
      <c r="O622" s="4"/>
    </row>
    <row r="623">
      <c r="L623" s="4"/>
      <c r="M623" s="4"/>
      <c r="N623" s="4"/>
      <c r="O623" s="4"/>
    </row>
    <row r="624">
      <c r="L624" s="4"/>
      <c r="M624" s="4"/>
      <c r="N624" s="4"/>
      <c r="O624" s="4"/>
    </row>
    <row r="625">
      <c r="L625" s="4"/>
      <c r="M625" s="4"/>
      <c r="N625" s="4"/>
      <c r="O625" s="4"/>
    </row>
    <row r="626">
      <c r="L626" s="4"/>
      <c r="M626" s="4"/>
      <c r="N626" s="4"/>
      <c r="O626" s="4"/>
    </row>
    <row r="627">
      <c r="L627" s="4"/>
      <c r="M627" s="4"/>
      <c r="N627" s="4"/>
      <c r="O627" s="4"/>
    </row>
    <row r="628">
      <c r="L628" s="4"/>
      <c r="M628" s="4"/>
      <c r="N628" s="4"/>
      <c r="O628" s="4"/>
    </row>
    <row r="629">
      <c r="L629" s="4"/>
      <c r="M629" s="4"/>
      <c r="N629" s="4"/>
      <c r="O629" s="4"/>
    </row>
    <row r="630">
      <c r="L630" s="4"/>
      <c r="M630" s="4"/>
      <c r="N630" s="4"/>
      <c r="O630" s="4"/>
    </row>
    <row r="631">
      <c r="L631" s="4"/>
      <c r="M631" s="4"/>
      <c r="N631" s="4"/>
      <c r="O631" s="4"/>
    </row>
    <row r="632">
      <c r="L632" s="4"/>
      <c r="M632" s="4"/>
      <c r="N632" s="4"/>
      <c r="O632" s="4"/>
    </row>
    <row r="633">
      <c r="L633" s="4"/>
      <c r="M633" s="4"/>
      <c r="N633" s="4"/>
      <c r="O633" s="4"/>
    </row>
    <row r="634">
      <c r="L634" s="4"/>
      <c r="M634" s="4"/>
      <c r="N634" s="4"/>
      <c r="O634" s="4"/>
    </row>
    <row r="635">
      <c r="L635" s="4"/>
      <c r="M635" s="4"/>
      <c r="N635" s="4"/>
      <c r="O635" s="4"/>
    </row>
    <row r="636">
      <c r="L636" s="4"/>
      <c r="M636" s="4"/>
      <c r="N636" s="4"/>
      <c r="O636" s="4"/>
    </row>
    <row r="637">
      <c r="L637" s="4"/>
      <c r="M637" s="4"/>
      <c r="N637" s="4"/>
      <c r="O637" s="4"/>
    </row>
    <row r="638">
      <c r="L638" s="4"/>
      <c r="M638" s="4"/>
      <c r="N638" s="4"/>
      <c r="O638" s="4"/>
    </row>
    <row r="639">
      <c r="L639" s="4"/>
      <c r="M639" s="4"/>
      <c r="N639" s="4"/>
      <c r="O639" s="4"/>
    </row>
    <row r="640">
      <c r="L640" s="4"/>
      <c r="M640" s="4"/>
      <c r="N640" s="4"/>
      <c r="O640" s="4"/>
    </row>
    <row r="641">
      <c r="L641" s="4"/>
      <c r="M641" s="4"/>
      <c r="N641" s="4"/>
      <c r="O641" s="4"/>
    </row>
    <row r="642">
      <c r="L642" s="4"/>
      <c r="M642" s="4"/>
      <c r="N642" s="4"/>
      <c r="O642" s="4"/>
    </row>
    <row r="643">
      <c r="L643" s="4"/>
      <c r="M643" s="4"/>
      <c r="N643" s="4"/>
      <c r="O643" s="4"/>
    </row>
    <row r="644">
      <c r="L644" s="4"/>
      <c r="M644" s="4"/>
      <c r="N644" s="4"/>
      <c r="O644" s="4"/>
    </row>
    <row r="645">
      <c r="L645" s="4"/>
      <c r="M645" s="4"/>
      <c r="N645" s="4"/>
      <c r="O645" s="4"/>
    </row>
    <row r="646">
      <c r="L646" s="4"/>
      <c r="M646" s="4"/>
      <c r="N646" s="4"/>
      <c r="O646" s="4"/>
    </row>
    <row r="647">
      <c r="L647" s="4"/>
      <c r="M647" s="4"/>
      <c r="N647" s="4"/>
      <c r="O647" s="4"/>
    </row>
    <row r="648">
      <c r="L648" s="4"/>
      <c r="M648" s="4"/>
      <c r="N648" s="4"/>
      <c r="O648" s="4"/>
    </row>
    <row r="649">
      <c r="L649" s="4"/>
      <c r="M649" s="4"/>
      <c r="N649" s="4"/>
      <c r="O649" s="4"/>
    </row>
    <row r="650">
      <c r="L650" s="4"/>
      <c r="M650" s="4"/>
      <c r="N650" s="4"/>
      <c r="O650" s="4"/>
    </row>
    <row r="651">
      <c r="L651" s="4"/>
      <c r="M651" s="4"/>
      <c r="N651" s="4"/>
      <c r="O651" s="4"/>
    </row>
    <row r="652">
      <c r="L652" s="4"/>
      <c r="M652" s="4"/>
      <c r="N652" s="4"/>
      <c r="O652" s="4"/>
    </row>
    <row r="653">
      <c r="L653" s="4"/>
      <c r="M653" s="4"/>
      <c r="N653" s="4"/>
      <c r="O653" s="4"/>
    </row>
    <row r="654">
      <c r="L654" s="4"/>
      <c r="M654" s="4"/>
      <c r="N654" s="4"/>
      <c r="O654" s="4"/>
    </row>
    <row r="655">
      <c r="L655" s="4"/>
      <c r="M655" s="4"/>
      <c r="N655" s="4"/>
      <c r="O655" s="4"/>
    </row>
    <row r="656">
      <c r="L656" s="4"/>
      <c r="M656" s="4"/>
      <c r="N656" s="4"/>
      <c r="O656" s="4"/>
    </row>
    <row r="657">
      <c r="L657" s="4"/>
      <c r="M657" s="4"/>
      <c r="N657" s="4"/>
      <c r="O657" s="4"/>
    </row>
    <row r="658">
      <c r="L658" s="4"/>
      <c r="M658" s="4"/>
      <c r="N658" s="4"/>
      <c r="O658" s="4"/>
    </row>
    <row r="659">
      <c r="L659" s="4"/>
      <c r="M659" s="4"/>
      <c r="N659" s="4"/>
      <c r="O659" s="4"/>
    </row>
    <row r="660">
      <c r="L660" s="4"/>
      <c r="M660" s="4"/>
      <c r="N660" s="4"/>
      <c r="O660" s="4"/>
    </row>
    <row r="661">
      <c r="L661" s="4"/>
      <c r="M661" s="4"/>
      <c r="N661" s="4"/>
      <c r="O661" s="4"/>
    </row>
    <row r="662">
      <c r="L662" s="4"/>
      <c r="M662" s="4"/>
      <c r="N662" s="4"/>
      <c r="O662" s="4"/>
    </row>
    <row r="663">
      <c r="L663" s="4"/>
      <c r="M663" s="4"/>
      <c r="N663" s="4"/>
      <c r="O663" s="4"/>
    </row>
    <row r="664">
      <c r="L664" s="4"/>
      <c r="M664" s="4"/>
      <c r="N664" s="4"/>
      <c r="O664" s="4"/>
    </row>
    <row r="665">
      <c r="L665" s="4"/>
      <c r="M665" s="4"/>
      <c r="N665" s="4"/>
      <c r="O665" s="4"/>
    </row>
    <row r="666">
      <c r="L666" s="4"/>
      <c r="M666" s="4"/>
      <c r="N666" s="4"/>
      <c r="O666" s="4"/>
    </row>
    <row r="667">
      <c r="L667" s="4"/>
      <c r="M667" s="4"/>
      <c r="N667" s="4"/>
      <c r="O667" s="4"/>
    </row>
    <row r="668">
      <c r="L668" s="4"/>
      <c r="M668" s="4"/>
      <c r="N668" s="4"/>
      <c r="O668" s="4"/>
    </row>
    <row r="669">
      <c r="L669" s="4"/>
      <c r="M669" s="4"/>
      <c r="N669" s="4"/>
      <c r="O669" s="4"/>
    </row>
    <row r="670">
      <c r="L670" s="4"/>
      <c r="M670" s="4"/>
      <c r="N670" s="4"/>
      <c r="O670" s="4"/>
    </row>
    <row r="671">
      <c r="L671" s="4"/>
      <c r="M671" s="4"/>
      <c r="N671" s="4"/>
      <c r="O671" s="4"/>
    </row>
    <row r="672">
      <c r="L672" s="4"/>
      <c r="M672" s="4"/>
      <c r="N672" s="4"/>
      <c r="O672" s="4"/>
    </row>
    <row r="673">
      <c r="L673" s="4"/>
      <c r="M673" s="4"/>
      <c r="N673" s="4"/>
      <c r="O673" s="4"/>
    </row>
    <row r="674">
      <c r="L674" s="4"/>
      <c r="M674" s="4"/>
      <c r="N674" s="4"/>
      <c r="O674" s="4"/>
    </row>
    <row r="675">
      <c r="L675" s="4"/>
      <c r="M675" s="4"/>
      <c r="N675" s="4"/>
      <c r="O675" s="4"/>
    </row>
    <row r="676">
      <c r="L676" s="4"/>
      <c r="M676" s="4"/>
      <c r="N676" s="4"/>
      <c r="O676" s="4"/>
    </row>
    <row r="677">
      <c r="L677" s="4"/>
      <c r="M677" s="4"/>
      <c r="N677" s="4"/>
      <c r="O677" s="4"/>
    </row>
    <row r="678">
      <c r="L678" s="4"/>
      <c r="M678" s="4"/>
      <c r="N678" s="4"/>
      <c r="O678" s="4"/>
    </row>
    <row r="679">
      <c r="L679" s="4"/>
      <c r="M679" s="4"/>
      <c r="N679" s="4"/>
      <c r="O679" s="4"/>
    </row>
    <row r="680">
      <c r="L680" s="4"/>
      <c r="M680" s="4"/>
      <c r="N680" s="4"/>
      <c r="O680" s="4"/>
    </row>
    <row r="681">
      <c r="L681" s="4"/>
      <c r="M681" s="4"/>
      <c r="N681" s="4"/>
      <c r="O681" s="4"/>
    </row>
    <row r="682">
      <c r="L682" s="4"/>
      <c r="M682" s="4"/>
      <c r="N682" s="4"/>
      <c r="O682" s="4"/>
    </row>
    <row r="683">
      <c r="L683" s="4"/>
      <c r="M683" s="4"/>
      <c r="N683" s="4"/>
      <c r="O683" s="4"/>
    </row>
    <row r="684">
      <c r="L684" s="4"/>
      <c r="M684" s="4"/>
      <c r="N684" s="4"/>
      <c r="O684" s="4"/>
    </row>
    <row r="685">
      <c r="L685" s="4"/>
      <c r="M685" s="4"/>
      <c r="N685" s="4"/>
      <c r="O685" s="4"/>
    </row>
    <row r="686">
      <c r="L686" s="4"/>
      <c r="M686" s="4"/>
      <c r="N686" s="4"/>
      <c r="O686" s="4"/>
    </row>
    <row r="687">
      <c r="L687" s="4"/>
      <c r="M687" s="4"/>
      <c r="N687" s="4"/>
      <c r="O687" s="4"/>
    </row>
    <row r="688">
      <c r="L688" s="4"/>
      <c r="M688" s="4"/>
      <c r="N688" s="4"/>
      <c r="O688" s="4"/>
    </row>
    <row r="689">
      <c r="L689" s="4"/>
      <c r="M689" s="4"/>
      <c r="N689" s="4"/>
      <c r="O689" s="4"/>
    </row>
    <row r="690">
      <c r="L690" s="4"/>
      <c r="M690" s="4"/>
      <c r="N690" s="4"/>
      <c r="O690" s="4"/>
    </row>
    <row r="691">
      <c r="L691" s="4"/>
      <c r="M691" s="4"/>
      <c r="N691" s="4"/>
      <c r="O691" s="4"/>
    </row>
    <row r="692">
      <c r="L692" s="4"/>
      <c r="M692" s="4"/>
      <c r="N692" s="4"/>
      <c r="O692" s="4"/>
    </row>
    <row r="693">
      <c r="L693" s="4"/>
      <c r="M693" s="4"/>
      <c r="N693" s="4"/>
      <c r="O693" s="4"/>
    </row>
    <row r="694">
      <c r="L694" s="4"/>
      <c r="M694" s="4"/>
      <c r="N694" s="4"/>
      <c r="O694" s="4"/>
    </row>
    <row r="695">
      <c r="L695" s="4"/>
      <c r="M695" s="4"/>
      <c r="N695" s="4"/>
      <c r="O695" s="4"/>
    </row>
    <row r="696">
      <c r="L696" s="4"/>
      <c r="M696" s="4"/>
      <c r="N696" s="4"/>
      <c r="O696" s="4"/>
    </row>
    <row r="697">
      <c r="L697" s="4"/>
      <c r="M697" s="4"/>
      <c r="N697" s="4"/>
      <c r="O697" s="4"/>
    </row>
    <row r="698">
      <c r="L698" s="4"/>
      <c r="M698" s="4"/>
      <c r="N698" s="4"/>
      <c r="O698" s="4"/>
    </row>
    <row r="699">
      <c r="L699" s="4"/>
      <c r="M699" s="4"/>
      <c r="N699" s="4"/>
      <c r="O699" s="4"/>
    </row>
    <row r="700">
      <c r="L700" s="4"/>
      <c r="M700" s="4"/>
      <c r="N700" s="4"/>
      <c r="O700" s="4"/>
    </row>
    <row r="701">
      <c r="L701" s="4"/>
      <c r="M701" s="4"/>
      <c r="N701" s="4"/>
      <c r="O701" s="4"/>
    </row>
    <row r="702">
      <c r="L702" s="4"/>
      <c r="M702" s="4"/>
      <c r="N702" s="4"/>
      <c r="O702" s="4"/>
    </row>
    <row r="703">
      <c r="L703" s="4"/>
      <c r="M703" s="4"/>
      <c r="N703" s="4"/>
      <c r="O703" s="4"/>
    </row>
    <row r="704">
      <c r="L704" s="4"/>
      <c r="M704" s="4"/>
      <c r="N704" s="4"/>
      <c r="O704" s="4"/>
    </row>
    <row r="705">
      <c r="L705" s="4"/>
      <c r="M705" s="4"/>
      <c r="N705" s="4"/>
      <c r="O705" s="4"/>
    </row>
    <row r="706">
      <c r="L706" s="4"/>
      <c r="M706" s="4"/>
      <c r="N706" s="4"/>
      <c r="O706" s="4"/>
    </row>
    <row r="707">
      <c r="L707" s="4"/>
      <c r="M707" s="4"/>
      <c r="N707" s="4"/>
      <c r="O707" s="4"/>
    </row>
    <row r="708">
      <c r="L708" s="4"/>
      <c r="M708" s="4"/>
      <c r="N708" s="4"/>
      <c r="O708" s="4"/>
    </row>
    <row r="709">
      <c r="L709" s="4"/>
      <c r="M709" s="4"/>
      <c r="N709" s="4"/>
      <c r="O709" s="4"/>
    </row>
    <row r="710">
      <c r="L710" s="4"/>
      <c r="M710" s="4"/>
      <c r="N710" s="4"/>
      <c r="O710" s="4"/>
    </row>
    <row r="711">
      <c r="L711" s="4"/>
      <c r="M711" s="4"/>
      <c r="N711" s="4"/>
      <c r="O711" s="4"/>
    </row>
    <row r="712">
      <c r="L712" s="4"/>
      <c r="M712" s="4"/>
      <c r="N712" s="4"/>
      <c r="O712" s="4"/>
    </row>
    <row r="713">
      <c r="L713" s="4"/>
      <c r="M713" s="4"/>
      <c r="N713" s="4"/>
      <c r="O713" s="4"/>
    </row>
    <row r="714">
      <c r="L714" s="4"/>
      <c r="M714" s="4"/>
      <c r="N714" s="4"/>
      <c r="O714" s="4"/>
    </row>
    <row r="715">
      <c r="L715" s="4"/>
      <c r="M715" s="4"/>
      <c r="N715" s="4"/>
      <c r="O715" s="4"/>
    </row>
    <row r="716">
      <c r="L716" s="4"/>
      <c r="M716" s="4"/>
      <c r="N716" s="4"/>
      <c r="O716" s="4"/>
    </row>
    <row r="717">
      <c r="L717" s="4"/>
      <c r="M717" s="4"/>
      <c r="N717" s="4"/>
      <c r="O717" s="4"/>
    </row>
    <row r="718">
      <c r="L718" s="4"/>
      <c r="M718" s="4"/>
      <c r="N718" s="4"/>
      <c r="O718" s="4"/>
    </row>
    <row r="719">
      <c r="L719" s="4"/>
      <c r="M719" s="4"/>
      <c r="N719" s="4"/>
      <c r="O719" s="4"/>
    </row>
    <row r="720">
      <c r="L720" s="4"/>
      <c r="M720" s="4"/>
      <c r="N720" s="4"/>
      <c r="O720" s="4"/>
    </row>
    <row r="721">
      <c r="L721" s="4"/>
      <c r="M721" s="4"/>
      <c r="N721" s="4"/>
      <c r="O721" s="4"/>
    </row>
    <row r="722">
      <c r="L722" s="4"/>
      <c r="M722" s="4"/>
      <c r="N722" s="4"/>
      <c r="O722" s="4"/>
    </row>
    <row r="723">
      <c r="L723" s="4"/>
      <c r="M723" s="4"/>
      <c r="N723" s="4"/>
      <c r="O723" s="4"/>
    </row>
    <row r="724">
      <c r="L724" s="4"/>
      <c r="M724" s="4"/>
      <c r="N724" s="4"/>
      <c r="O724" s="4"/>
    </row>
    <row r="725">
      <c r="L725" s="4"/>
      <c r="M725" s="4"/>
      <c r="N725" s="4"/>
      <c r="O725" s="4"/>
    </row>
    <row r="726">
      <c r="L726" s="4"/>
      <c r="M726" s="4"/>
      <c r="N726" s="4"/>
      <c r="O726" s="4"/>
    </row>
    <row r="727">
      <c r="L727" s="4"/>
      <c r="M727" s="4"/>
      <c r="N727" s="4"/>
      <c r="O727" s="4"/>
    </row>
    <row r="728">
      <c r="L728" s="4"/>
      <c r="M728" s="4"/>
      <c r="N728" s="4"/>
      <c r="O728" s="4"/>
    </row>
    <row r="729">
      <c r="L729" s="4"/>
      <c r="M729" s="4"/>
      <c r="N729" s="4"/>
      <c r="O729" s="4"/>
    </row>
    <row r="730">
      <c r="L730" s="4"/>
      <c r="M730" s="4"/>
      <c r="N730" s="4"/>
      <c r="O730" s="4"/>
    </row>
    <row r="731">
      <c r="L731" s="4"/>
      <c r="M731" s="4"/>
      <c r="N731" s="4"/>
      <c r="O731" s="4"/>
    </row>
    <row r="732">
      <c r="L732" s="4"/>
      <c r="M732" s="4"/>
      <c r="N732" s="4"/>
      <c r="O732" s="4"/>
    </row>
    <row r="733">
      <c r="L733" s="4"/>
      <c r="M733" s="4"/>
      <c r="N733" s="4"/>
      <c r="O733" s="4"/>
    </row>
    <row r="734">
      <c r="L734" s="4"/>
      <c r="M734" s="4"/>
      <c r="N734" s="4"/>
      <c r="O734" s="4"/>
    </row>
    <row r="735">
      <c r="L735" s="4"/>
      <c r="M735" s="4"/>
      <c r="N735" s="4"/>
      <c r="O735" s="4"/>
    </row>
    <row r="736">
      <c r="L736" s="4"/>
      <c r="M736" s="4"/>
      <c r="N736" s="4"/>
      <c r="O736" s="4"/>
    </row>
    <row r="737">
      <c r="L737" s="4"/>
      <c r="M737" s="4"/>
      <c r="N737" s="4"/>
      <c r="O737" s="4"/>
    </row>
    <row r="738">
      <c r="L738" s="4"/>
      <c r="M738" s="4"/>
      <c r="N738" s="4"/>
      <c r="O738" s="4"/>
    </row>
    <row r="739">
      <c r="L739" s="4"/>
      <c r="M739" s="4"/>
      <c r="N739" s="4"/>
      <c r="O739" s="4"/>
    </row>
    <row r="740">
      <c r="L740" s="4"/>
      <c r="M740" s="4"/>
      <c r="N740" s="4"/>
      <c r="O740" s="4"/>
    </row>
    <row r="741">
      <c r="L741" s="4"/>
      <c r="M741" s="4"/>
      <c r="N741" s="4"/>
      <c r="O741" s="4"/>
    </row>
    <row r="742">
      <c r="L742" s="4"/>
      <c r="M742" s="4"/>
      <c r="N742" s="4"/>
      <c r="O742" s="4"/>
    </row>
    <row r="743">
      <c r="L743" s="4"/>
      <c r="M743" s="4"/>
      <c r="N743" s="4"/>
      <c r="O743" s="4"/>
    </row>
    <row r="744">
      <c r="L744" s="4"/>
      <c r="M744" s="4"/>
      <c r="N744" s="4"/>
      <c r="O744" s="4"/>
    </row>
    <row r="745">
      <c r="L745" s="4"/>
      <c r="M745" s="4"/>
      <c r="N745" s="4"/>
      <c r="O745" s="4"/>
    </row>
    <row r="746">
      <c r="L746" s="4"/>
      <c r="M746" s="4"/>
      <c r="N746" s="4"/>
      <c r="O746" s="4"/>
    </row>
    <row r="747">
      <c r="L747" s="4"/>
      <c r="M747" s="4"/>
      <c r="N747" s="4"/>
      <c r="O747" s="4"/>
    </row>
    <row r="748">
      <c r="L748" s="4"/>
      <c r="M748" s="4"/>
      <c r="N748" s="4"/>
      <c r="O748" s="4"/>
    </row>
    <row r="749">
      <c r="L749" s="4"/>
      <c r="M749" s="4"/>
      <c r="N749" s="4"/>
      <c r="O749" s="4"/>
    </row>
    <row r="750">
      <c r="L750" s="4"/>
      <c r="M750" s="4"/>
      <c r="N750" s="4"/>
      <c r="O750" s="4"/>
    </row>
    <row r="751">
      <c r="L751" s="4"/>
      <c r="M751" s="4"/>
      <c r="N751" s="4"/>
      <c r="O751" s="4"/>
    </row>
    <row r="752">
      <c r="L752" s="4"/>
      <c r="M752" s="4"/>
      <c r="N752" s="4"/>
      <c r="O752" s="4"/>
    </row>
    <row r="753">
      <c r="L753" s="4"/>
      <c r="M753" s="4"/>
      <c r="N753" s="4"/>
      <c r="O753" s="4"/>
    </row>
    <row r="754">
      <c r="L754" s="4"/>
      <c r="M754" s="4"/>
      <c r="N754" s="4"/>
      <c r="O754" s="4"/>
    </row>
    <row r="755">
      <c r="L755" s="4"/>
      <c r="M755" s="4"/>
      <c r="N755" s="4"/>
      <c r="O755" s="4"/>
    </row>
    <row r="756">
      <c r="L756" s="4"/>
      <c r="M756" s="4"/>
      <c r="N756" s="4"/>
      <c r="O756" s="4"/>
    </row>
    <row r="757">
      <c r="L757" s="4"/>
      <c r="M757" s="4"/>
      <c r="N757" s="4"/>
      <c r="O757" s="4"/>
    </row>
    <row r="758">
      <c r="L758" s="4"/>
      <c r="M758" s="4"/>
      <c r="N758" s="4"/>
      <c r="O758" s="4"/>
    </row>
    <row r="759">
      <c r="L759" s="4"/>
      <c r="M759" s="4"/>
      <c r="N759" s="4"/>
      <c r="O759" s="4"/>
    </row>
    <row r="760">
      <c r="L760" s="4"/>
      <c r="M760" s="4"/>
      <c r="N760" s="4"/>
      <c r="O760" s="4"/>
    </row>
    <row r="761">
      <c r="L761" s="4"/>
      <c r="M761" s="4"/>
      <c r="N761" s="4"/>
      <c r="O761" s="4"/>
    </row>
    <row r="762">
      <c r="L762" s="4"/>
      <c r="M762" s="4"/>
      <c r="N762" s="4"/>
      <c r="O762" s="4"/>
    </row>
    <row r="763">
      <c r="L763" s="4"/>
      <c r="M763" s="4"/>
      <c r="N763" s="4"/>
      <c r="O763" s="4"/>
    </row>
    <row r="764">
      <c r="L764" s="4"/>
      <c r="M764" s="4"/>
      <c r="N764" s="4"/>
      <c r="O764" s="4"/>
    </row>
    <row r="765">
      <c r="L765" s="4"/>
      <c r="M765" s="4"/>
      <c r="N765" s="4"/>
      <c r="O765" s="4"/>
    </row>
    <row r="766">
      <c r="L766" s="4"/>
      <c r="M766" s="4"/>
      <c r="N766" s="4"/>
      <c r="O766" s="4"/>
    </row>
    <row r="767">
      <c r="L767" s="4"/>
      <c r="M767" s="4"/>
      <c r="N767" s="4"/>
      <c r="O767" s="4"/>
    </row>
    <row r="768">
      <c r="L768" s="4"/>
      <c r="M768" s="4"/>
      <c r="N768" s="4"/>
      <c r="O768" s="4"/>
    </row>
    <row r="769">
      <c r="L769" s="4"/>
      <c r="M769" s="4"/>
      <c r="N769" s="4"/>
      <c r="O769" s="4"/>
    </row>
    <row r="770">
      <c r="L770" s="4"/>
      <c r="M770" s="4"/>
      <c r="N770" s="4"/>
      <c r="O770" s="4"/>
    </row>
    <row r="771">
      <c r="L771" s="4"/>
      <c r="M771" s="4"/>
      <c r="N771" s="4"/>
      <c r="O771" s="4"/>
    </row>
    <row r="772">
      <c r="L772" s="4"/>
      <c r="M772" s="4"/>
      <c r="N772" s="4"/>
      <c r="O772" s="4"/>
    </row>
    <row r="773">
      <c r="L773" s="4"/>
      <c r="M773" s="4"/>
      <c r="N773" s="4"/>
      <c r="O773" s="4"/>
    </row>
    <row r="774">
      <c r="L774" s="4"/>
      <c r="M774" s="4"/>
      <c r="N774" s="4"/>
      <c r="O774" s="4"/>
    </row>
    <row r="775">
      <c r="L775" s="4"/>
      <c r="M775" s="4"/>
      <c r="N775" s="4"/>
      <c r="O775" s="4"/>
    </row>
    <row r="776">
      <c r="L776" s="4"/>
      <c r="M776" s="4"/>
      <c r="N776" s="4"/>
      <c r="O776" s="4"/>
    </row>
    <row r="777">
      <c r="L777" s="4"/>
      <c r="M777" s="4"/>
      <c r="N777" s="4"/>
      <c r="O777" s="4"/>
    </row>
    <row r="778">
      <c r="L778" s="4"/>
      <c r="M778" s="4"/>
      <c r="N778" s="4"/>
      <c r="O778" s="4"/>
    </row>
    <row r="779">
      <c r="L779" s="4"/>
      <c r="M779" s="4"/>
      <c r="N779" s="4"/>
      <c r="O779" s="4"/>
    </row>
    <row r="780">
      <c r="L780" s="4"/>
      <c r="M780" s="4"/>
      <c r="N780" s="4"/>
      <c r="O780" s="4"/>
    </row>
    <row r="781">
      <c r="L781" s="4"/>
      <c r="M781" s="4"/>
      <c r="N781" s="4"/>
      <c r="O781" s="4"/>
    </row>
    <row r="782">
      <c r="L782" s="4"/>
      <c r="M782" s="4"/>
      <c r="N782" s="4"/>
      <c r="O782" s="4"/>
    </row>
    <row r="783">
      <c r="L783" s="4"/>
      <c r="M783" s="4"/>
      <c r="N783" s="4"/>
      <c r="O783" s="4"/>
    </row>
    <row r="784">
      <c r="L784" s="4"/>
      <c r="M784" s="4"/>
      <c r="N784" s="4"/>
      <c r="O784" s="4"/>
    </row>
    <row r="785">
      <c r="L785" s="4"/>
      <c r="M785" s="4"/>
      <c r="N785" s="4"/>
      <c r="O785" s="4"/>
    </row>
    <row r="786">
      <c r="L786" s="4"/>
      <c r="M786" s="4"/>
      <c r="N786" s="4"/>
      <c r="O786" s="4"/>
    </row>
    <row r="787">
      <c r="L787" s="4"/>
      <c r="M787" s="4"/>
      <c r="N787" s="4"/>
      <c r="O787" s="4"/>
    </row>
    <row r="788">
      <c r="L788" s="4"/>
      <c r="M788" s="4"/>
      <c r="N788" s="4"/>
      <c r="O788" s="4"/>
    </row>
    <row r="789">
      <c r="L789" s="4"/>
      <c r="M789" s="4"/>
      <c r="N789" s="4"/>
      <c r="O789" s="4"/>
    </row>
    <row r="790">
      <c r="L790" s="4"/>
      <c r="M790" s="4"/>
      <c r="N790" s="4"/>
      <c r="O790" s="4"/>
    </row>
    <row r="791">
      <c r="L791" s="4"/>
      <c r="M791" s="4"/>
      <c r="N791" s="4"/>
      <c r="O791" s="4"/>
    </row>
    <row r="792">
      <c r="L792" s="4"/>
      <c r="M792" s="4"/>
      <c r="N792" s="4"/>
      <c r="O792" s="4"/>
    </row>
    <row r="793">
      <c r="L793" s="4"/>
      <c r="M793" s="4"/>
      <c r="N793" s="4"/>
      <c r="O793" s="4"/>
    </row>
    <row r="794">
      <c r="L794" s="4"/>
      <c r="M794" s="4"/>
      <c r="N794" s="4"/>
      <c r="O794" s="4"/>
    </row>
    <row r="795">
      <c r="L795" s="4"/>
      <c r="M795" s="4"/>
      <c r="N795" s="4"/>
      <c r="O795" s="4"/>
    </row>
    <row r="796">
      <c r="L796" s="4"/>
      <c r="M796" s="4"/>
      <c r="N796" s="4"/>
      <c r="O796" s="4"/>
    </row>
    <row r="797">
      <c r="L797" s="4"/>
      <c r="M797" s="4"/>
      <c r="N797" s="4"/>
      <c r="O797" s="4"/>
    </row>
    <row r="798">
      <c r="L798" s="4"/>
      <c r="M798" s="4"/>
      <c r="N798" s="4"/>
      <c r="O798" s="4"/>
    </row>
    <row r="799">
      <c r="L799" s="4"/>
      <c r="M799" s="4"/>
      <c r="N799" s="4"/>
      <c r="O799" s="4"/>
    </row>
    <row r="800">
      <c r="L800" s="4"/>
      <c r="M800" s="4"/>
      <c r="N800" s="4"/>
      <c r="O800" s="4"/>
    </row>
    <row r="801">
      <c r="L801" s="4"/>
      <c r="M801" s="4"/>
      <c r="N801" s="4"/>
      <c r="O801" s="4"/>
    </row>
    <row r="802">
      <c r="L802" s="4"/>
      <c r="M802" s="4"/>
      <c r="N802" s="4"/>
      <c r="O802" s="4"/>
    </row>
    <row r="803">
      <c r="L803" s="4"/>
      <c r="M803" s="4"/>
      <c r="N803" s="4"/>
      <c r="O803" s="4"/>
    </row>
    <row r="804">
      <c r="L804" s="4"/>
      <c r="M804" s="4"/>
      <c r="N804" s="4"/>
      <c r="O804" s="4"/>
    </row>
    <row r="805">
      <c r="L805" s="4"/>
      <c r="M805" s="4"/>
      <c r="N805" s="4"/>
      <c r="O805" s="4"/>
    </row>
    <row r="806">
      <c r="L806" s="4"/>
      <c r="M806" s="4"/>
      <c r="N806" s="4"/>
      <c r="O806" s="4"/>
    </row>
    <row r="807">
      <c r="L807" s="4"/>
      <c r="M807" s="4"/>
      <c r="N807" s="4"/>
      <c r="O807" s="4"/>
    </row>
    <row r="808">
      <c r="L808" s="4"/>
      <c r="M808" s="4"/>
      <c r="N808" s="4"/>
      <c r="O808" s="4"/>
    </row>
    <row r="809">
      <c r="L809" s="4"/>
      <c r="M809" s="4"/>
      <c r="N809" s="4"/>
      <c r="O809" s="4"/>
    </row>
    <row r="810">
      <c r="L810" s="4"/>
      <c r="M810" s="4"/>
      <c r="N810" s="4"/>
      <c r="O810" s="4"/>
    </row>
    <row r="811">
      <c r="L811" s="4"/>
      <c r="M811" s="4"/>
      <c r="N811" s="4"/>
      <c r="O811" s="4"/>
    </row>
    <row r="812">
      <c r="L812" s="4"/>
      <c r="M812" s="4"/>
      <c r="N812" s="4"/>
      <c r="O812" s="4"/>
    </row>
    <row r="813">
      <c r="L813" s="4"/>
      <c r="M813" s="4"/>
      <c r="N813" s="4"/>
      <c r="O813" s="4"/>
    </row>
    <row r="814">
      <c r="L814" s="4"/>
      <c r="M814" s="4"/>
      <c r="N814" s="4"/>
      <c r="O814" s="4"/>
    </row>
    <row r="815">
      <c r="L815" s="4"/>
      <c r="M815" s="4"/>
      <c r="N815" s="4"/>
      <c r="O815" s="4"/>
    </row>
    <row r="816">
      <c r="L816" s="4"/>
      <c r="M816" s="4"/>
      <c r="N816" s="4"/>
      <c r="O816" s="4"/>
    </row>
    <row r="817">
      <c r="L817" s="4"/>
      <c r="M817" s="4"/>
      <c r="N817" s="4"/>
      <c r="O817" s="4"/>
    </row>
    <row r="818">
      <c r="L818" s="4"/>
      <c r="M818" s="4"/>
      <c r="N818" s="4"/>
      <c r="O818" s="4"/>
    </row>
    <row r="819">
      <c r="L819" s="4"/>
      <c r="M819" s="4"/>
      <c r="N819" s="4"/>
      <c r="O819" s="4"/>
    </row>
    <row r="820">
      <c r="L820" s="4"/>
      <c r="M820" s="4"/>
      <c r="N820" s="4"/>
      <c r="O820" s="4"/>
    </row>
    <row r="821">
      <c r="L821" s="4"/>
      <c r="M821" s="4"/>
      <c r="N821" s="4"/>
      <c r="O821" s="4"/>
    </row>
    <row r="822">
      <c r="L822" s="4"/>
      <c r="M822" s="4"/>
      <c r="N822" s="4"/>
      <c r="O822" s="4"/>
    </row>
    <row r="823">
      <c r="L823" s="4"/>
      <c r="M823" s="4"/>
      <c r="N823" s="4"/>
      <c r="O823" s="4"/>
    </row>
    <row r="824">
      <c r="L824" s="4"/>
      <c r="M824" s="4"/>
      <c r="N824" s="4"/>
      <c r="O824" s="4"/>
    </row>
    <row r="825">
      <c r="L825" s="4"/>
      <c r="M825" s="4"/>
      <c r="N825" s="4"/>
      <c r="O825" s="4"/>
    </row>
    <row r="826">
      <c r="L826" s="4"/>
      <c r="M826" s="4"/>
      <c r="N826" s="4"/>
      <c r="O826" s="4"/>
    </row>
    <row r="827">
      <c r="L827" s="4"/>
      <c r="M827" s="4"/>
      <c r="N827" s="4"/>
      <c r="O827" s="4"/>
    </row>
    <row r="828">
      <c r="L828" s="4"/>
      <c r="M828" s="4"/>
      <c r="N828" s="4"/>
      <c r="O828" s="4"/>
    </row>
    <row r="829">
      <c r="L829" s="4"/>
      <c r="M829" s="4"/>
      <c r="N829" s="4"/>
      <c r="O829" s="4"/>
    </row>
    <row r="830">
      <c r="L830" s="4"/>
      <c r="M830" s="4"/>
      <c r="N830" s="4"/>
      <c r="O830" s="4"/>
    </row>
    <row r="831">
      <c r="L831" s="4"/>
      <c r="M831" s="4"/>
      <c r="N831" s="4"/>
      <c r="O831" s="4"/>
    </row>
    <row r="832">
      <c r="L832" s="4"/>
      <c r="M832" s="4"/>
      <c r="N832" s="4"/>
      <c r="O832" s="4"/>
    </row>
    <row r="833">
      <c r="L833" s="4"/>
      <c r="M833" s="4"/>
      <c r="N833" s="4"/>
      <c r="O833" s="4"/>
    </row>
    <row r="834">
      <c r="L834" s="4"/>
      <c r="M834" s="4"/>
      <c r="N834" s="4"/>
      <c r="O834" s="4"/>
    </row>
    <row r="835">
      <c r="L835" s="4"/>
      <c r="M835" s="4"/>
      <c r="N835" s="4"/>
      <c r="O835" s="4"/>
    </row>
    <row r="836">
      <c r="L836" s="4"/>
      <c r="M836" s="4"/>
      <c r="N836" s="4"/>
      <c r="O836" s="4"/>
    </row>
    <row r="837">
      <c r="L837" s="4"/>
      <c r="M837" s="4"/>
      <c r="N837" s="4"/>
      <c r="O837" s="4"/>
    </row>
    <row r="838">
      <c r="L838" s="4"/>
      <c r="M838" s="4"/>
      <c r="N838" s="4"/>
      <c r="O838" s="4"/>
    </row>
    <row r="839">
      <c r="L839" s="4"/>
      <c r="M839" s="4"/>
      <c r="N839" s="4"/>
      <c r="O839" s="4"/>
    </row>
    <row r="840">
      <c r="L840" s="4"/>
      <c r="M840" s="4"/>
      <c r="N840" s="4"/>
      <c r="O840" s="4"/>
    </row>
    <row r="841">
      <c r="L841" s="4"/>
      <c r="M841" s="4"/>
      <c r="N841" s="4"/>
      <c r="O841" s="4"/>
    </row>
    <row r="842">
      <c r="L842" s="4"/>
      <c r="M842" s="4"/>
      <c r="N842" s="4"/>
      <c r="O842" s="4"/>
    </row>
    <row r="843">
      <c r="L843" s="4"/>
      <c r="M843" s="4"/>
      <c r="N843" s="4"/>
      <c r="O843" s="4"/>
    </row>
    <row r="844">
      <c r="L844" s="4"/>
      <c r="M844" s="4"/>
      <c r="N844" s="4"/>
      <c r="O844" s="4"/>
    </row>
    <row r="845">
      <c r="L845" s="4"/>
      <c r="M845" s="4"/>
      <c r="N845" s="4"/>
      <c r="O845" s="4"/>
    </row>
    <row r="846">
      <c r="L846" s="4"/>
      <c r="M846" s="4"/>
      <c r="N846" s="4"/>
      <c r="O846" s="4"/>
    </row>
    <row r="847">
      <c r="L847" s="4"/>
      <c r="M847" s="4"/>
      <c r="N847" s="4"/>
      <c r="O847" s="4"/>
    </row>
    <row r="848">
      <c r="L848" s="4"/>
      <c r="M848" s="4"/>
      <c r="N848" s="4"/>
      <c r="O848" s="4"/>
    </row>
    <row r="849">
      <c r="L849" s="4"/>
      <c r="M849" s="4"/>
      <c r="N849" s="4"/>
      <c r="O849" s="4"/>
    </row>
    <row r="850">
      <c r="L850" s="4"/>
      <c r="M850" s="4"/>
      <c r="N850" s="4"/>
      <c r="O850" s="4"/>
    </row>
    <row r="851">
      <c r="L851" s="4"/>
      <c r="M851" s="4"/>
      <c r="N851" s="4"/>
      <c r="O851" s="4"/>
    </row>
    <row r="852">
      <c r="L852" s="4"/>
      <c r="M852" s="4"/>
      <c r="N852" s="4"/>
      <c r="O852" s="4"/>
    </row>
    <row r="853">
      <c r="L853" s="4"/>
      <c r="M853" s="4"/>
      <c r="N853" s="4"/>
      <c r="O853" s="4"/>
    </row>
    <row r="854">
      <c r="L854" s="4"/>
      <c r="M854" s="4"/>
      <c r="N854" s="4"/>
      <c r="O854" s="4"/>
    </row>
    <row r="855">
      <c r="L855" s="4"/>
      <c r="M855" s="4"/>
      <c r="N855" s="4"/>
      <c r="O855" s="4"/>
    </row>
    <row r="856">
      <c r="L856" s="4"/>
      <c r="M856" s="4"/>
      <c r="N856" s="4"/>
      <c r="O856" s="4"/>
    </row>
    <row r="857">
      <c r="L857" s="4"/>
      <c r="M857" s="4"/>
      <c r="N857" s="4"/>
      <c r="O857" s="4"/>
    </row>
    <row r="858">
      <c r="L858" s="4"/>
      <c r="M858" s="4"/>
      <c r="N858" s="4"/>
      <c r="O858" s="4"/>
    </row>
    <row r="859">
      <c r="L859" s="4"/>
      <c r="M859" s="4"/>
      <c r="N859" s="4"/>
      <c r="O859" s="4"/>
    </row>
    <row r="860">
      <c r="L860" s="4"/>
      <c r="M860" s="4"/>
      <c r="N860" s="4"/>
      <c r="O860" s="4"/>
    </row>
    <row r="861">
      <c r="L861" s="4"/>
      <c r="M861" s="4"/>
      <c r="N861" s="4"/>
      <c r="O861" s="4"/>
    </row>
    <row r="862">
      <c r="L862" s="4"/>
      <c r="M862" s="4"/>
      <c r="N862" s="4"/>
      <c r="O862" s="4"/>
    </row>
    <row r="863">
      <c r="L863" s="4"/>
      <c r="M863" s="4"/>
      <c r="N863" s="4"/>
      <c r="O863" s="4"/>
    </row>
    <row r="864">
      <c r="L864" s="4"/>
      <c r="M864" s="4"/>
      <c r="N864" s="4"/>
      <c r="O864" s="4"/>
    </row>
    <row r="865">
      <c r="L865" s="4"/>
      <c r="M865" s="4"/>
      <c r="N865" s="4"/>
      <c r="O865" s="4"/>
    </row>
    <row r="866">
      <c r="L866" s="4"/>
      <c r="M866" s="4"/>
      <c r="N866" s="4"/>
      <c r="O866" s="4"/>
    </row>
    <row r="867">
      <c r="L867" s="4"/>
      <c r="M867" s="4"/>
      <c r="N867" s="4"/>
      <c r="O867" s="4"/>
    </row>
    <row r="868">
      <c r="L868" s="4"/>
      <c r="M868" s="4"/>
      <c r="N868" s="4"/>
      <c r="O868" s="4"/>
    </row>
    <row r="869">
      <c r="L869" s="4"/>
      <c r="M869" s="4"/>
      <c r="N869" s="4"/>
      <c r="O869" s="4"/>
    </row>
    <row r="870">
      <c r="L870" s="4"/>
      <c r="M870" s="4"/>
      <c r="N870" s="4"/>
      <c r="O870" s="4"/>
    </row>
    <row r="871">
      <c r="L871" s="4"/>
      <c r="M871" s="4"/>
      <c r="N871" s="4"/>
      <c r="O871" s="4"/>
    </row>
    <row r="872">
      <c r="L872" s="4"/>
      <c r="M872" s="4"/>
      <c r="N872" s="4"/>
      <c r="O872" s="4"/>
    </row>
    <row r="873">
      <c r="L873" s="4"/>
      <c r="M873" s="4"/>
      <c r="N873" s="4"/>
      <c r="O873" s="4"/>
    </row>
    <row r="874">
      <c r="L874" s="4"/>
      <c r="M874" s="4"/>
      <c r="N874" s="4"/>
      <c r="O874" s="4"/>
    </row>
    <row r="875">
      <c r="L875" s="4"/>
      <c r="M875" s="4"/>
      <c r="N875" s="4"/>
      <c r="O875" s="4"/>
    </row>
    <row r="876">
      <c r="L876" s="4"/>
      <c r="M876" s="4"/>
      <c r="N876" s="4"/>
      <c r="O876" s="4"/>
    </row>
    <row r="877">
      <c r="L877" s="4"/>
      <c r="M877" s="4"/>
      <c r="N877" s="4"/>
      <c r="O877" s="4"/>
    </row>
    <row r="878">
      <c r="L878" s="4"/>
      <c r="M878" s="4"/>
      <c r="N878" s="4"/>
      <c r="O878" s="4"/>
    </row>
    <row r="879">
      <c r="L879" s="4"/>
      <c r="M879" s="4"/>
      <c r="N879" s="4"/>
      <c r="O879" s="4"/>
    </row>
    <row r="880">
      <c r="L880" s="4"/>
      <c r="M880" s="4"/>
      <c r="N880" s="4"/>
      <c r="O880" s="4"/>
    </row>
    <row r="881">
      <c r="L881" s="4"/>
      <c r="M881" s="4"/>
      <c r="N881" s="4"/>
      <c r="O881" s="4"/>
    </row>
    <row r="882">
      <c r="L882" s="4"/>
      <c r="M882" s="4"/>
      <c r="N882" s="4"/>
      <c r="O882" s="4"/>
    </row>
    <row r="883">
      <c r="L883" s="4"/>
      <c r="M883" s="4"/>
      <c r="N883" s="4"/>
      <c r="O883" s="4"/>
    </row>
    <row r="884">
      <c r="L884" s="4"/>
      <c r="M884" s="4"/>
      <c r="N884" s="4"/>
      <c r="O884" s="4"/>
    </row>
    <row r="885">
      <c r="L885" s="4"/>
      <c r="M885" s="4"/>
      <c r="N885" s="4"/>
      <c r="O885" s="4"/>
    </row>
    <row r="886">
      <c r="L886" s="4"/>
      <c r="M886" s="4"/>
      <c r="N886" s="4"/>
      <c r="O886" s="4"/>
    </row>
    <row r="887">
      <c r="L887" s="4"/>
      <c r="M887" s="4"/>
      <c r="N887" s="4"/>
      <c r="O887" s="4"/>
    </row>
    <row r="888">
      <c r="L888" s="4"/>
      <c r="M888" s="4"/>
      <c r="N888" s="4"/>
      <c r="O888" s="4"/>
    </row>
    <row r="889">
      <c r="L889" s="4"/>
      <c r="M889" s="4"/>
      <c r="N889" s="4"/>
      <c r="O889" s="4"/>
    </row>
    <row r="890">
      <c r="L890" s="4"/>
      <c r="M890" s="4"/>
      <c r="N890" s="4"/>
      <c r="O890" s="4"/>
    </row>
    <row r="891">
      <c r="L891" s="4"/>
      <c r="M891" s="4"/>
      <c r="N891" s="4"/>
      <c r="O891" s="4"/>
    </row>
    <row r="892">
      <c r="L892" s="4"/>
      <c r="M892" s="4"/>
      <c r="N892" s="4"/>
      <c r="O892" s="4"/>
    </row>
    <row r="893">
      <c r="L893" s="4"/>
      <c r="M893" s="4"/>
      <c r="N893" s="4"/>
      <c r="O893" s="4"/>
    </row>
    <row r="894">
      <c r="L894" s="4"/>
      <c r="M894" s="4"/>
      <c r="N894" s="4"/>
      <c r="O894" s="4"/>
    </row>
    <row r="895">
      <c r="L895" s="4"/>
      <c r="M895" s="4"/>
      <c r="N895" s="4"/>
      <c r="O895" s="4"/>
    </row>
    <row r="896">
      <c r="L896" s="4"/>
      <c r="M896" s="4"/>
      <c r="N896" s="4"/>
      <c r="O896" s="4"/>
    </row>
    <row r="897">
      <c r="L897" s="4"/>
      <c r="M897" s="4"/>
      <c r="N897" s="4"/>
      <c r="O897" s="4"/>
    </row>
    <row r="898">
      <c r="L898" s="4"/>
      <c r="M898" s="4"/>
      <c r="N898" s="4"/>
      <c r="O898" s="4"/>
    </row>
    <row r="899">
      <c r="L899" s="4"/>
      <c r="M899" s="4"/>
      <c r="N899" s="4"/>
      <c r="O899" s="4"/>
    </row>
    <row r="900">
      <c r="L900" s="4"/>
      <c r="M900" s="4"/>
      <c r="N900" s="4"/>
      <c r="O900" s="4"/>
    </row>
    <row r="901">
      <c r="L901" s="4"/>
      <c r="M901" s="4"/>
      <c r="N901" s="4"/>
      <c r="O901" s="4"/>
    </row>
    <row r="902">
      <c r="L902" s="4"/>
      <c r="M902" s="4"/>
      <c r="N902" s="4"/>
      <c r="O902" s="4"/>
    </row>
    <row r="903">
      <c r="L903" s="4"/>
      <c r="M903" s="4"/>
      <c r="N903" s="4"/>
      <c r="O903" s="4"/>
    </row>
    <row r="904">
      <c r="L904" s="4"/>
      <c r="M904" s="4"/>
      <c r="N904" s="4"/>
      <c r="O904" s="4"/>
    </row>
    <row r="905">
      <c r="L905" s="4"/>
      <c r="M905" s="4"/>
      <c r="N905" s="4"/>
      <c r="O905" s="4"/>
    </row>
    <row r="906">
      <c r="L906" s="4"/>
      <c r="M906" s="4"/>
      <c r="N906" s="4"/>
      <c r="O906" s="4"/>
    </row>
    <row r="907">
      <c r="L907" s="4"/>
      <c r="M907" s="4"/>
      <c r="N907" s="4"/>
      <c r="O907" s="4"/>
    </row>
    <row r="908">
      <c r="L908" s="4"/>
      <c r="M908" s="4"/>
      <c r="N908" s="4"/>
      <c r="O908" s="4"/>
    </row>
    <row r="909">
      <c r="L909" s="4"/>
      <c r="M909" s="4"/>
      <c r="N909" s="4"/>
      <c r="O909" s="4"/>
    </row>
    <row r="910">
      <c r="L910" s="4"/>
      <c r="M910" s="4"/>
      <c r="N910" s="4"/>
      <c r="O910" s="4"/>
    </row>
    <row r="911">
      <c r="L911" s="4"/>
      <c r="M911" s="4"/>
      <c r="N911" s="4"/>
      <c r="O911" s="4"/>
    </row>
    <row r="912">
      <c r="L912" s="4"/>
      <c r="M912" s="4"/>
      <c r="N912" s="4"/>
      <c r="O912" s="4"/>
    </row>
    <row r="913">
      <c r="L913" s="4"/>
      <c r="M913" s="4"/>
      <c r="N913" s="4"/>
      <c r="O913" s="4"/>
    </row>
    <row r="914">
      <c r="L914" s="4"/>
      <c r="M914" s="4"/>
      <c r="N914" s="4"/>
      <c r="O914" s="4"/>
    </row>
    <row r="915">
      <c r="L915" s="4"/>
      <c r="M915" s="4"/>
      <c r="N915" s="4"/>
      <c r="O915" s="4"/>
    </row>
    <row r="916">
      <c r="L916" s="4"/>
      <c r="M916" s="4"/>
      <c r="N916" s="4"/>
      <c r="O916" s="4"/>
    </row>
    <row r="917">
      <c r="L917" s="4"/>
      <c r="M917" s="4"/>
      <c r="N917" s="4"/>
      <c r="O917" s="4"/>
    </row>
    <row r="918">
      <c r="L918" s="4"/>
      <c r="M918" s="4"/>
      <c r="N918" s="4"/>
      <c r="O918" s="4"/>
    </row>
    <row r="919">
      <c r="L919" s="4"/>
      <c r="M919" s="4"/>
      <c r="N919" s="4"/>
      <c r="O919" s="4"/>
    </row>
    <row r="920">
      <c r="L920" s="4"/>
      <c r="M920" s="4"/>
      <c r="N920" s="4"/>
      <c r="O920" s="4"/>
    </row>
    <row r="921">
      <c r="L921" s="4"/>
      <c r="M921" s="4"/>
      <c r="N921" s="4"/>
      <c r="O921" s="4"/>
    </row>
    <row r="922">
      <c r="L922" s="4"/>
      <c r="M922" s="4"/>
      <c r="N922" s="4"/>
      <c r="O922" s="4"/>
    </row>
    <row r="923">
      <c r="L923" s="4"/>
      <c r="M923" s="4"/>
      <c r="N923" s="4"/>
      <c r="O923" s="4"/>
    </row>
    <row r="924">
      <c r="L924" s="4"/>
      <c r="M924" s="4"/>
      <c r="N924" s="4"/>
      <c r="O924" s="4"/>
    </row>
    <row r="925">
      <c r="L925" s="4"/>
      <c r="M925" s="4"/>
      <c r="N925" s="4"/>
      <c r="O925" s="4"/>
    </row>
    <row r="926">
      <c r="L926" s="4"/>
      <c r="M926" s="4"/>
      <c r="N926" s="4"/>
      <c r="O926" s="4"/>
    </row>
    <row r="927">
      <c r="L927" s="4"/>
      <c r="M927" s="4"/>
      <c r="N927" s="4"/>
      <c r="O927" s="4"/>
    </row>
    <row r="928">
      <c r="L928" s="4"/>
      <c r="M928" s="4"/>
      <c r="N928" s="4"/>
      <c r="O928" s="4"/>
    </row>
    <row r="929">
      <c r="L929" s="4"/>
      <c r="M929" s="4"/>
      <c r="N929" s="4"/>
      <c r="O929" s="4"/>
    </row>
    <row r="930">
      <c r="L930" s="4"/>
      <c r="M930" s="4"/>
      <c r="N930" s="4"/>
      <c r="O930" s="4"/>
    </row>
    <row r="931">
      <c r="L931" s="4"/>
      <c r="M931" s="4"/>
      <c r="N931" s="4"/>
      <c r="O931" s="4"/>
    </row>
    <row r="932">
      <c r="L932" s="4"/>
      <c r="M932" s="4"/>
      <c r="N932" s="4"/>
      <c r="O932" s="4"/>
    </row>
    <row r="933">
      <c r="L933" s="4"/>
      <c r="M933" s="4"/>
      <c r="N933" s="4"/>
      <c r="O933" s="4"/>
    </row>
    <row r="934">
      <c r="L934" s="4"/>
      <c r="M934" s="4"/>
      <c r="N934" s="4"/>
      <c r="O934" s="4"/>
    </row>
    <row r="935">
      <c r="L935" s="4"/>
      <c r="M935" s="4"/>
      <c r="N935" s="4"/>
      <c r="O935" s="4"/>
    </row>
    <row r="936">
      <c r="L936" s="4"/>
      <c r="M936" s="4"/>
      <c r="N936" s="4"/>
      <c r="O936" s="4"/>
    </row>
    <row r="937">
      <c r="L937" s="4"/>
      <c r="M937" s="4"/>
      <c r="N937" s="4"/>
      <c r="O937" s="4"/>
    </row>
    <row r="938">
      <c r="L938" s="4"/>
      <c r="M938" s="4"/>
      <c r="N938" s="4"/>
      <c r="O938" s="4"/>
    </row>
    <row r="939">
      <c r="L939" s="4"/>
      <c r="M939" s="4"/>
      <c r="N939" s="4"/>
      <c r="O939" s="4"/>
    </row>
    <row r="940">
      <c r="L940" s="4"/>
      <c r="M940" s="4"/>
      <c r="N940" s="4"/>
      <c r="O940" s="4"/>
    </row>
    <row r="941">
      <c r="L941" s="4"/>
      <c r="M941" s="4"/>
      <c r="N941" s="4"/>
      <c r="O941" s="4"/>
    </row>
    <row r="942">
      <c r="L942" s="4"/>
      <c r="M942" s="4"/>
      <c r="N942" s="4"/>
      <c r="O942" s="4"/>
    </row>
    <row r="943">
      <c r="L943" s="4"/>
      <c r="M943" s="4"/>
      <c r="N943" s="4"/>
      <c r="O943" s="4"/>
    </row>
    <row r="944">
      <c r="L944" s="4"/>
      <c r="M944" s="4"/>
      <c r="N944" s="4"/>
      <c r="O944" s="4"/>
    </row>
    <row r="945">
      <c r="L945" s="4"/>
      <c r="M945" s="4"/>
      <c r="N945" s="4"/>
      <c r="O945" s="4"/>
    </row>
    <row r="946">
      <c r="L946" s="4"/>
      <c r="M946" s="4"/>
      <c r="N946" s="4"/>
      <c r="O946" s="4"/>
    </row>
    <row r="947">
      <c r="L947" s="4"/>
      <c r="M947" s="4"/>
      <c r="N947" s="4"/>
      <c r="O947" s="4"/>
    </row>
    <row r="948">
      <c r="L948" s="4"/>
      <c r="M948" s="4"/>
      <c r="N948" s="4"/>
      <c r="O948" s="4"/>
    </row>
    <row r="949">
      <c r="L949" s="4"/>
      <c r="M949" s="4"/>
      <c r="N949" s="4"/>
      <c r="O949" s="4"/>
    </row>
    <row r="950">
      <c r="L950" s="4"/>
      <c r="M950" s="4"/>
      <c r="N950" s="4"/>
      <c r="O950" s="4"/>
    </row>
    <row r="951">
      <c r="L951" s="4"/>
      <c r="M951" s="4"/>
      <c r="N951" s="4"/>
      <c r="O951" s="4"/>
    </row>
    <row r="952">
      <c r="L952" s="4"/>
      <c r="M952" s="4"/>
      <c r="N952" s="4"/>
      <c r="O952" s="4"/>
    </row>
    <row r="953">
      <c r="L953" s="4"/>
      <c r="M953" s="4"/>
      <c r="N953" s="4"/>
      <c r="O953" s="4"/>
    </row>
    <row r="954">
      <c r="L954" s="4"/>
      <c r="M954" s="4"/>
      <c r="N954" s="4"/>
      <c r="O954" s="4"/>
    </row>
    <row r="955">
      <c r="L955" s="4"/>
      <c r="M955" s="4"/>
      <c r="N955" s="4"/>
      <c r="O955" s="4"/>
    </row>
    <row r="956">
      <c r="L956" s="4"/>
      <c r="M956" s="4"/>
      <c r="N956" s="4"/>
      <c r="O956" s="4"/>
    </row>
  </sheetData>
  <drawing r:id="rId1"/>
</worksheet>
</file>